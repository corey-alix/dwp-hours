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alix\Documents\"/>
    </mc:Choice>
  </mc:AlternateContent>
  <xr:revisionPtr revIDLastSave="0" documentId="8_{F066EEDB-52E0-40A3-B746-0D38C31858E7}" xr6:coauthVersionLast="47" xr6:coauthVersionMax="47" xr10:uidLastSave="{00000000-0000-0000-0000-000000000000}"/>
  <bookViews>
    <workbookView xWindow="-96" yWindow="-96" windowWidth="23232" windowHeight="13872" tabRatio="500" xr2:uid="{00000000-000D-0000-FFFF-FFFF00000000}"/>
  </bookViews>
  <sheets>
    <sheet name="Corey Alix" sheetId="1" r:id="rId1"/>
  </sheets>
  <definedNames>
    <definedName name="_xlnm.Print_Area" localSheetId="0">'Corey Alix'!$A$1:$X$54</definedName>
    <definedName name="PTOYEAR" localSheetId="0">'Corey Alix'!$B$2</definedName>
    <definedName name="PTO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3" i="1" l="1"/>
  <c r="D52" i="1"/>
  <c r="D51" i="1"/>
  <c r="D50" i="1"/>
  <c r="D49" i="1"/>
  <c r="D48" i="1"/>
  <c r="D47" i="1"/>
  <c r="D46" i="1"/>
  <c r="D45" i="1"/>
  <c r="D44" i="1"/>
  <c r="D43" i="1"/>
  <c r="D42" i="1"/>
  <c r="AB34" i="1"/>
  <c r="J53" i="1" l="1"/>
  <c r="J52" i="1"/>
  <c r="J51" i="1"/>
  <c r="J50" i="1"/>
  <c r="J49" i="1"/>
  <c r="J48" i="1"/>
  <c r="J47" i="1"/>
  <c r="J46" i="1"/>
  <c r="J45" i="1"/>
  <c r="J44" i="1"/>
  <c r="J43" i="1"/>
  <c r="J42" i="1"/>
  <c r="O42" i="1" s="1"/>
  <c r="R33" i="1" a="1"/>
  <c r="W36" i="1" s="1"/>
  <c r="J33" i="1" a="1"/>
  <c r="O38" i="1" s="1"/>
  <c r="B33" i="1" a="1"/>
  <c r="R24" i="1" a="1"/>
  <c r="W29" i="1" s="1"/>
  <c r="J24" i="1" a="1"/>
  <c r="P29" i="1" s="1"/>
  <c r="B24" i="1" a="1"/>
  <c r="F29" i="1" s="1"/>
  <c r="R15" i="1" a="1"/>
  <c r="W20" i="1" s="1"/>
  <c r="J15" i="1" a="1"/>
  <c r="O20" i="1" s="1"/>
  <c r="B15" i="1" a="1"/>
  <c r="G20" i="1" s="1"/>
  <c r="R6" i="1" a="1"/>
  <c r="W11" i="1" s="1"/>
  <c r="J6" i="1" a="1"/>
  <c r="O11" i="1" s="1"/>
  <c r="B6" i="1" a="1"/>
  <c r="H11" i="1" s="1"/>
  <c r="L43" i="1" l="1"/>
  <c r="O43" i="1" s="1"/>
  <c r="V43" i="1" s="1"/>
  <c r="L44" i="1" s="1"/>
  <c r="O44" i="1" s="1"/>
  <c r="V44" i="1" s="1"/>
  <c r="L45" i="1" s="1"/>
  <c r="O45" i="1" s="1"/>
  <c r="V45" i="1" s="1"/>
  <c r="L46" i="1" s="1"/>
  <c r="O46" i="1" s="1"/>
  <c r="N9" i="1"/>
  <c r="G15" i="1"/>
  <c r="N7" i="1"/>
  <c r="K6" i="1"/>
  <c r="B18" i="1"/>
  <c r="M6" i="1"/>
  <c r="B15" i="1"/>
  <c r="B20" i="1"/>
  <c r="O35" i="1"/>
  <c r="T20" i="1"/>
  <c r="F16" i="1"/>
  <c r="F18" i="1"/>
  <c r="D20" i="1"/>
  <c r="W15" i="1"/>
  <c r="J36" i="1"/>
  <c r="P7" i="1"/>
  <c r="J11" i="1"/>
  <c r="C15" i="1"/>
  <c r="H16" i="1"/>
  <c r="H18" i="1"/>
  <c r="U17" i="1"/>
  <c r="M33" i="1"/>
  <c r="J38" i="1"/>
  <c r="O10" i="1"/>
  <c r="J9" i="1"/>
  <c r="E15" i="1"/>
  <c r="E17" i="1"/>
  <c r="G19" i="1"/>
  <c r="R15" i="1"/>
  <c r="X18" i="1"/>
  <c r="O33" i="1"/>
  <c r="L38" i="1"/>
  <c r="J6" i="1"/>
  <c r="O6" i="1"/>
  <c r="M8" i="1"/>
  <c r="P9" i="1"/>
  <c r="L11" i="1"/>
  <c r="D16" i="1"/>
  <c r="G17" i="1"/>
  <c r="C19" i="1"/>
  <c r="H20" i="1"/>
  <c r="S15" i="1"/>
  <c r="V16" i="1"/>
  <c r="R18" i="1"/>
  <c r="W19" i="1"/>
  <c r="J33" i="1"/>
  <c r="N34" i="1"/>
  <c r="P36" i="1"/>
  <c r="T16" i="1"/>
  <c r="W17" i="1"/>
  <c r="S19" i="1"/>
  <c r="X20" i="1"/>
  <c r="L7" i="1"/>
  <c r="O8" i="1"/>
  <c r="K10" i="1"/>
  <c r="P11" i="1"/>
  <c r="U15" i="1"/>
  <c r="X16" i="1"/>
  <c r="V18" i="1"/>
  <c r="R20" i="1"/>
  <c r="P34" i="1"/>
  <c r="K37" i="1"/>
  <c r="J34" i="1"/>
  <c r="K35" i="1"/>
  <c r="L36" i="1"/>
  <c r="M37" i="1"/>
  <c r="N38" i="1"/>
  <c r="X33" i="1"/>
  <c r="S36" i="1"/>
  <c r="U38" i="1"/>
  <c r="R35" i="1"/>
  <c r="T37" i="1"/>
  <c r="T33" i="1"/>
  <c r="V35" i="1"/>
  <c r="X37" i="1"/>
  <c r="J7" i="1"/>
  <c r="K8" i="1"/>
  <c r="L9" i="1"/>
  <c r="M10" i="1"/>
  <c r="N11" i="1"/>
  <c r="B16" i="1"/>
  <c r="C17" i="1"/>
  <c r="D18" i="1"/>
  <c r="E19" i="1"/>
  <c r="F20" i="1"/>
  <c r="R16" i="1"/>
  <c r="S17" i="1"/>
  <c r="T18" i="1"/>
  <c r="U19" i="1"/>
  <c r="V20" i="1"/>
  <c r="K33" i="1"/>
  <c r="L34" i="1"/>
  <c r="M35" i="1"/>
  <c r="N36" i="1"/>
  <c r="O37" i="1"/>
  <c r="P38" i="1"/>
  <c r="U34" i="1"/>
  <c r="D6" i="1"/>
  <c r="F6" i="1"/>
  <c r="H6" i="1"/>
  <c r="C7" i="1"/>
  <c r="E7" i="1"/>
  <c r="G7" i="1"/>
  <c r="B8" i="1"/>
  <c r="D8" i="1"/>
  <c r="F8" i="1"/>
  <c r="H8" i="1"/>
  <c r="C9" i="1"/>
  <c r="E9" i="1"/>
  <c r="G9" i="1"/>
  <c r="B10" i="1"/>
  <c r="D10" i="1"/>
  <c r="F10" i="1"/>
  <c r="H10" i="1"/>
  <c r="C11" i="1"/>
  <c r="E11" i="1"/>
  <c r="G11" i="1"/>
  <c r="B6" i="1"/>
  <c r="C6" i="1"/>
  <c r="E6" i="1"/>
  <c r="G6" i="1"/>
  <c r="B7" i="1"/>
  <c r="D7" i="1"/>
  <c r="F7" i="1"/>
  <c r="H7" i="1"/>
  <c r="C8" i="1"/>
  <c r="E8" i="1"/>
  <c r="G8" i="1"/>
  <c r="B9" i="1"/>
  <c r="D9" i="1"/>
  <c r="F9" i="1"/>
  <c r="H9" i="1"/>
  <c r="C10" i="1"/>
  <c r="E10" i="1"/>
  <c r="G10" i="1"/>
  <c r="B11" i="1"/>
  <c r="D11" i="1"/>
  <c r="F11" i="1"/>
  <c r="L6" i="1"/>
  <c r="N6" i="1"/>
  <c r="P6" i="1"/>
  <c r="K7" i="1"/>
  <c r="M7" i="1"/>
  <c r="O7" i="1"/>
  <c r="J8" i="1"/>
  <c r="L8" i="1"/>
  <c r="N8" i="1"/>
  <c r="P8" i="1"/>
  <c r="K9" i="1"/>
  <c r="M9" i="1"/>
  <c r="O9" i="1"/>
  <c r="J10" i="1"/>
  <c r="L10" i="1"/>
  <c r="N10" i="1"/>
  <c r="P10" i="1"/>
  <c r="K11" i="1"/>
  <c r="M11" i="1"/>
  <c r="R6" i="1"/>
  <c r="S6" i="1"/>
  <c r="U6" i="1"/>
  <c r="W6" i="1"/>
  <c r="R7" i="1"/>
  <c r="T7" i="1"/>
  <c r="V7" i="1"/>
  <c r="X7" i="1"/>
  <c r="S8" i="1"/>
  <c r="U8" i="1"/>
  <c r="W8" i="1"/>
  <c r="R9" i="1"/>
  <c r="T9" i="1"/>
  <c r="V9" i="1"/>
  <c r="X9" i="1"/>
  <c r="S10" i="1"/>
  <c r="U10" i="1"/>
  <c r="W10" i="1"/>
  <c r="R11" i="1"/>
  <c r="T11" i="1"/>
  <c r="V11" i="1"/>
  <c r="X11" i="1"/>
  <c r="D15" i="1"/>
  <c r="F15" i="1"/>
  <c r="H15" i="1"/>
  <c r="C16" i="1"/>
  <c r="E16" i="1"/>
  <c r="G16" i="1"/>
  <c r="B17" i="1"/>
  <c r="D17" i="1"/>
  <c r="F17" i="1"/>
  <c r="H17" i="1"/>
  <c r="C18" i="1"/>
  <c r="E18" i="1"/>
  <c r="G18" i="1"/>
  <c r="B19" i="1"/>
  <c r="D19" i="1"/>
  <c r="F19" i="1"/>
  <c r="H19" i="1"/>
  <c r="C20" i="1"/>
  <c r="E20" i="1"/>
  <c r="J15" i="1"/>
  <c r="K15" i="1"/>
  <c r="M15" i="1"/>
  <c r="O15" i="1"/>
  <c r="J16" i="1"/>
  <c r="L16" i="1"/>
  <c r="N16" i="1"/>
  <c r="P16" i="1"/>
  <c r="K17" i="1"/>
  <c r="M17" i="1"/>
  <c r="O17" i="1"/>
  <c r="J18" i="1"/>
  <c r="L18" i="1"/>
  <c r="N18" i="1"/>
  <c r="P18" i="1"/>
  <c r="K19" i="1"/>
  <c r="M19" i="1"/>
  <c r="O19" i="1"/>
  <c r="J20" i="1"/>
  <c r="L20" i="1"/>
  <c r="N20" i="1"/>
  <c r="P20" i="1"/>
  <c r="T15" i="1"/>
  <c r="V15" i="1"/>
  <c r="X15" i="1"/>
  <c r="S16" i="1"/>
  <c r="U16" i="1"/>
  <c r="W16" i="1"/>
  <c r="R17" i="1"/>
  <c r="T17" i="1"/>
  <c r="V17" i="1"/>
  <c r="X17" i="1"/>
  <c r="S18" i="1"/>
  <c r="U18" i="1"/>
  <c r="W18" i="1"/>
  <c r="R19" i="1"/>
  <c r="T19" i="1"/>
  <c r="V19" i="1"/>
  <c r="X19" i="1"/>
  <c r="S20" i="1"/>
  <c r="U20" i="1"/>
  <c r="B24" i="1"/>
  <c r="C24" i="1"/>
  <c r="E24" i="1"/>
  <c r="B25" i="1"/>
  <c r="F25" i="1"/>
  <c r="C26" i="1"/>
  <c r="G26" i="1"/>
  <c r="D27" i="1"/>
  <c r="H27" i="1"/>
  <c r="E28" i="1"/>
  <c r="B29" i="1"/>
  <c r="T6" i="1"/>
  <c r="V6" i="1"/>
  <c r="X6" i="1"/>
  <c r="S7" i="1"/>
  <c r="U7" i="1"/>
  <c r="W7" i="1"/>
  <c r="R8" i="1"/>
  <c r="T8" i="1"/>
  <c r="V8" i="1"/>
  <c r="X8" i="1"/>
  <c r="S9" i="1"/>
  <c r="U9" i="1"/>
  <c r="W9" i="1"/>
  <c r="R10" i="1"/>
  <c r="T10" i="1"/>
  <c r="V10" i="1"/>
  <c r="X10" i="1"/>
  <c r="S11" i="1"/>
  <c r="U11" i="1"/>
  <c r="L15" i="1"/>
  <c r="N15" i="1"/>
  <c r="P15" i="1"/>
  <c r="K16" i="1"/>
  <c r="M16" i="1"/>
  <c r="O16" i="1"/>
  <c r="J17" i="1"/>
  <c r="L17" i="1"/>
  <c r="N17" i="1"/>
  <c r="P17" i="1"/>
  <c r="K18" i="1"/>
  <c r="M18" i="1"/>
  <c r="O18" i="1"/>
  <c r="J19" i="1"/>
  <c r="L19" i="1"/>
  <c r="N19" i="1"/>
  <c r="P19" i="1"/>
  <c r="K20" i="1"/>
  <c r="M20" i="1"/>
  <c r="G29" i="1"/>
  <c r="E29" i="1"/>
  <c r="C29" i="1"/>
  <c r="H28" i="1"/>
  <c r="F28" i="1"/>
  <c r="D28" i="1"/>
  <c r="B28" i="1"/>
  <c r="G27" i="1"/>
  <c r="E27" i="1"/>
  <c r="C27" i="1"/>
  <c r="H26" i="1"/>
  <c r="F26" i="1"/>
  <c r="D26" i="1"/>
  <c r="B26" i="1"/>
  <c r="G25" i="1"/>
  <c r="E25" i="1"/>
  <c r="C25" i="1"/>
  <c r="H24" i="1"/>
  <c r="F24" i="1"/>
  <c r="D24" i="1"/>
  <c r="G24" i="1"/>
  <c r="D25" i="1"/>
  <c r="H25" i="1"/>
  <c r="E26" i="1"/>
  <c r="B27" i="1"/>
  <c r="F27" i="1"/>
  <c r="C28" i="1"/>
  <c r="G28" i="1"/>
  <c r="D29" i="1"/>
  <c r="H29" i="1"/>
  <c r="L24" i="1"/>
  <c r="N24" i="1"/>
  <c r="P24" i="1"/>
  <c r="K25" i="1"/>
  <c r="M25" i="1"/>
  <c r="O25" i="1"/>
  <c r="J26" i="1"/>
  <c r="L26" i="1"/>
  <c r="N26" i="1"/>
  <c r="P26" i="1"/>
  <c r="K27" i="1"/>
  <c r="M27" i="1"/>
  <c r="O27" i="1"/>
  <c r="J28" i="1"/>
  <c r="L28" i="1"/>
  <c r="N28" i="1"/>
  <c r="P28" i="1"/>
  <c r="K29" i="1"/>
  <c r="M29" i="1"/>
  <c r="O29" i="1"/>
  <c r="R24" i="1"/>
  <c r="S24" i="1"/>
  <c r="U24" i="1"/>
  <c r="W24" i="1"/>
  <c r="R25" i="1"/>
  <c r="T25" i="1"/>
  <c r="V25" i="1"/>
  <c r="X25" i="1"/>
  <c r="S26" i="1"/>
  <c r="U26" i="1"/>
  <c r="W26" i="1"/>
  <c r="R27" i="1"/>
  <c r="T27" i="1"/>
  <c r="V27" i="1"/>
  <c r="X27" i="1"/>
  <c r="S28" i="1"/>
  <c r="U28" i="1"/>
  <c r="W28" i="1"/>
  <c r="R29" i="1"/>
  <c r="T29" i="1"/>
  <c r="V29" i="1"/>
  <c r="X29" i="1"/>
  <c r="H38" i="1"/>
  <c r="F38" i="1"/>
  <c r="D38" i="1"/>
  <c r="B38" i="1"/>
  <c r="G37" i="1"/>
  <c r="E37" i="1"/>
  <c r="C37" i="1"/>
  <c r="H36" i="1"/>
  <c r="F36" i="1"/>
  <c r="D36" i="1"/>
  <c r="B36" i="1"/>
  <c r="G35" i="1"/>
  <c r="E35" i="1"/>
  <c r="C35" i="1"/>
  <c r="H34" i="1"/>
  <c r="F34" i="1"/>
  <c r="D34" i="1"/>
  <c r="B34" i="1"/>
  <c r="G33" i="1"/>
  <c r="D33" i="1"/>
  <c r="F33" i="1"/>
  <c r="C34" i="1"/>
  <c r="G34" i="1"/>
  <c r="D35" i="1"/>
  <c r="H35" i="1"/>
  <c r="E36" i="1"/>
  <c r="B37" i="1"/>
  <c r="F37" i="1"/>
  <c r="C38" i="1"/>
  <c r="G38" i="1"/>
  <c r="X38" i="1"/>
  <c r="V38" i="1"/>
  <c r="T38" i="1"/>
  <c r="R38" i="1"/>
  <c r="W37" i="1"/>
  <c r="U37" i="1"/>
  <c r="S37" i="1"/>
  <c r="X36" i="1"/>
  <c r="V36" i="1"/>
  <c r="T36" i="1"/>
  <c r="R36" i="1"/>
  <c r="W35" i="1"/>
  <c r="U35" i="1"/>
  <c r="S35" i="1"/>
  <c r="X34" i="1"/>
  <c r="V34" i="1"/>
  <c r="T34" i="1"/>
  <c r="R34" i="1"/>
  <c r="W33" i="1"/>
  <c r="U33" i="1"/>
  <c r="S33" i="1"/>
  <c r="R33" i="1"/>
  <c r="V33" i="1"/>
  <c r="S34" i="1"/>
  <c r="W34" i="1"/>
  <c r="T35" i="1"/>
  <c r="X35" i="1"/>
  <c r="U36" i="1"/>
  <c r="R37" i="1"/>
  <c r="V37" i="1"/>
  <c r="S38" i="1"/>
  <c r="W38" i="1"/>
  <c r="J24" i="1"/>
  <c r="K24" i="1"/>
  <c r="M24" i="1"/>
  <c r="O24" i="1"/>
  <c r="J25" i="1"/>
  <c r="L25" i="1"/>
  <c r="N25" i="1"/>
  <c r="P25" i="1"/>
  <c r="K26" i="1"/>
  <c r="M26" i="1"/>
  <c r="O26" i="1"/>
  <c r="J27" i="1"/>
  <c r="L27" i="1"/>
  <c r="N27" i="1"/>
  <c r="P27" i="1"/>
  <c r="K28" i="1"/>
  <c r="M28" i="1"/>
  <c r="O28" i="1"/>
  <c r="J29" i="1"/>
  <c r="L29" i="1"/>
  <c r="N29" i="1"/>
  <c r="T24" i="1"/>
  <c r="V24" i="1"/>
  <c r="X24" i="1"/>
  <c r="S25" i="1"/>
  <c r="U25" i="1"/>
  <c r="W25" i="1"/>
  <c r="R26" i="1"/>
  <c r="T26" i="1"/>
  <c r="V26" i="1"/>
  <c r="X26" i="1"/>
  <c r="S27" i="1"/>
  <c r="U27" i="1"/>
  <c r="W27" i="1"/>
  <c r="R28" i="1"/>
  <c r="T28" i="1"/>
  <c r="V28" i="1"/>
  <c r="X28" i="1"/>
  <c r="S29" i="1"/>
  <c r="U29" i="1"/>
  <c r="B33" i="1"/>
  <c r="C33" i="1"/>
  <c r="E33" i="1"/>
  <c r="H33" i="1"/>
  <c r="E34" i="1"/>
  <c r="B35" i="1"/>
  <c r="F35" i="1"/>
  <c r="C36" i="1"/>
  <c r="G36" i="1"/>
  <c r="D37" i="1"/>
  <c r="H37" i="1"/>
  <c r="E38" i="1"/>
  <c r="L33" i="1"/>
  <c r="N33" i="1"/>
  <c r="P33" i="1"/>
  <c r="K34" i="1"/>
  <c r="M34" i="1"/>
  <c r="O34" i="1"/>
  <c r="J35" i="1"/>
  <c r="L35" i="1"/>
  <c r="N35" i="1"/>
  <c r="P35" i="1"/>
  <c r="K36" i="1"/>
  <c r="M36" i="1"/>
  <c r="O36" i="1"/>
  <c r="J37" i="1"/>
  <c r="L37" i="1"/>
  <c r="N37" i="1"/>
  <c r="P37" i="1"/>
  <c r="K38" i="1"/>
  <c r="M38" i="1"/>
  <c r="V46" i="1" l="1"/>
  <c r="L47" i="1" s="1"/>
  <c r="O47" i="1" s="1"/>
  <c r="L48" i="1" s="1"/>
  <c r="O48" i="1" s="1"/>
  <c r="V48" i="1" s="1"/>
  <c r="L49" i="1" s="1"/>
  <c r="O49" i="1" s="1"/>
  <c r="V49" i="1" s="1"/>
  <c r="L50" i="1" s="1"/>
  <c r="O50" i="1" s="1"/>
  <c r="V50" i="1" s="1"/>
  <c r="L51" i="1" s="1"/>
  <c r="O51" i="1" s="1"/>
  <c r="V51" i="1" s="1"/>
  <c r="L52" i="1" s="1"/>
  <c r="O52" i="1" s="1"/>
  <c r="V52" i="1" s="1"/>
  <c r="L53" i="1" s="1"/>
  <c r="O53" i="1" s="1"/>
  <c r="V53" i="1" s="1"/>
</calcChain>
</file>

<file path=xl/sharedStrings.xml><?xml version="1.0" encoding="utf-8"?>
<sst xmlns="http://schemas.openxmlformats.org/spreadsheetml/2006/main" count="225" uniqueCount="54">
  <si>
    <t>PTO Form</t>
  </si>
  <si>
    <t>January</t>
  </si>
  <si>
    <t>May</t>
  </si>
  <si>
    <t>September</t>
  </si>
  <si>
    <t>S</t>
  </si>
  <si>
    <t>M</t>
  </si>
  <si>
    <t>T</t>
  </si>
  <si>
    <t>W</t>
  </si>
  <si>
    <t>F</t>
  </si>
  <si>
    <t>Legend</t>
  </si>
  <si>
    <t>Sick</t>
  </si>
  <si>
    <t>Full PTO</t>
  </si>
  <si>
    <t>Partial PTO</t>
  </si>
  <si>
    <t>Planned PTO</t>
  </si>
  <si>
    <t>February</t>
  </si>
  <si>
    <t>June</t>
  </si>
  <si>
    <t>October</t>
  </si>
  <si>
    <t>Bereavement</t>
  </si>
  <si>
    <t>Jury Duty</t>
  </si>
  <si>
    <t>March</t>
  </si>
  <si>
    <t>July</t>
  </si>
  <si>
    <t>November</t>
  </si>
  <si>
    <t>April</t>
  </si>
  <si>
    <t>August</t>
  </si>
  <si>
    <t>December</t>
  </si>
  <si>
    <t>PTO CALCULATION SECTION</t>
  </si>
  <si>
    <t>Work Days</t>
  </si>
  <si>
    <t>Daily</t>
  </si>
  <si>
    <t>Avail</t>
  </si>
  <si>
    <t>Prev. Month's</t>
  </si>
  <si>
    <t>Subtotal</t>
  </si>
  <si>
    <t>PTO hours</t>
  </si>
  <si>
    <t>Total</t>
  </si>
  <si>
    <t>Initials</t>
  </si>
  <si>
    <t>in Month</t>
  </si>
  <si>
    <t>Rate</t>
  </si>
  <si>
    <t>PTO</t>
  </si>
  <si>
    <t>Carryover</t>
  </si>
  <si>
    <t>per Month</t>
  </si>
  <si>
    <t>Avail. PTO</t>
  </si>
  <si>
    <t>&amp; Date</t>
  </si>
  <si>
    <t xml:space="preserve"> </t>
  </si>
  <si>
    <t>=</t>
  </si>
  <si>
    <t>+</t>
  </si>
  <si>
    <t>-</t>
  </si>
  <si>
    <t>COMMENTS:</t>
  </si>
  <si>
    <t>Sick Hours Allowed</t>
  </si>
  <si>
    <t>Sick Hours Used</t>
  </si>
  <si>
    <t>Sick Hours Remaining</t>
  </si>
  <si>
    <t>Corey Alix</t>
  </si>
  <si>
    <t>Hire Date: 2/13/23</t>
  </si>
  <si>
    <t>CA</t>
  </si>
  <si>
    <t>Mandi</t>
  </si>
  <si>
    <t>PTO Cleared per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</si>
</sst>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2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sz val="10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sz val="8"/>
      <name val="Tahoma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rgb="FF33339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double">
        <color rgb="FF333399"/>
      </top>
      <bottom style="double">
        <color rgb="FF333399"/>
      </bottom>
      <diagonal/>
    </border>
    <border>
      <left/>
      <right style="medium">
        <color auto="1"/>
      </right>
      <top style="double">
        <color rgb="FF333399"/>
      </top>
      <bottom style="double">
        <color rgb="FF333399"/>
      </bottom>
      <diagonal/>
    </border>
    <border>
      <left style="medium">
        <color auto="1"/>
      </left>
      <right/>
      <top style="double">
        <color rgb="FF333399"/>
      </top>
      <bottom style="double">
        <color rgb="FF333399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 style="medium">
        <color auto="1"/>
      </top>
      <bottom/>
      <diagonal/>
    </border>
    <border>
      <left/>
      <right style="thick">
        <color theme="1"/>
      </right>
      <top style="medium">
        <color auto="1"/>
      </top>
      <bottom/>
      <diagonal/>
    </border>
    <border>
      <left style="thick">
        <color theme="1"/>
      </left>
      <right/>
      <top style="double">
        <color rgb="FF333399"/>
      </top>
      <bottom style="double">
        <color rgb="FF333399"/>
      </bottom>
      <diagonal/>
    </border>
    <border>
      <left/>
      <right style="thick">
        <color theme="1"/>
      </right>
      <top style="double">
        <color rgb="FF333399"/>
      </top>
      <bottom style="double">
        <color rgb="FF333399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auto="1"/>
      </left>
      <right/>
      <top style="thick">
        <color theme="1"/>
      </top>
      <bottom style="thick">
        <color theme="1"/>
      </bottom>
      <diagonal/>
    </border>
    <border>
      <left style="thick">
        <color auto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medium">
        <color auto="1"/>
      </right>
      <top/>
      <bottom style="thick">
        <color theme="1"/>
      </bottom>
      <diagonal/>
    </border>
    <border>
      <left style="medium">
        <color auto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auto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/>
      <top style="double">
        <color rgb="FF333399"/>
      </top>
      <bottom style="medium">
        <color theme="1"/>
      </bottom>
      <diagonal/>
    </border>
    <border>
      <left/>
      <right/>
      <top style="double">
        <color rgb="FF333399"/>
      </top>
      <bottom style="medium">
        <color theme="1"/>
      </bottom>
      <diagonal/>
    </border>
    <border>
      <left/>
      <right style="medium">
        <color auto="1"/>
      </right>
      <top style="double">
        <color rgb="FF333399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ck">
        <color theme="1"/>
      </left>
      <right/>
      <top style="double">
        <color rgb="FF333399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ck">
        <color theme="1"/>
      </bottom>
      <diagonal/>
    </border>
    <border>
      <left/>
      <right style="thin">
        <color theme="1"/>
      </right>
      <top style="thin">
        <color theme="1"/>
      </top>
      <bottom style="thick">
        <color theme="1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18" fillId="10" borderId="0" applyNumberFormat="0" applyBorder="0" applyAlignment="0" applyProtection="0"/>
    <xf numFmtId="0" fontId="19" fillId="11" borderId="47" applyNumberFormat="0" applyAlignment="0" applyProtection="0"/>
  </cellStyleXfs>
  <cellXfs count="128">
    <xf numFmtId="0" fontId="0" fillId="0" borderId="0" xfId="0"/>
    <xf numFmtId="0" fontId="5" fillId="0" borderId="0" xfId="3" applyFont="1" applyProtection="1">
      <protection locked="0"/>
    </xf>
    <xf numFmtId="0" fontId="6" fillId="0" borderId="0" xfId="3" applyFont="1" applyProtection="1">
      <protection locked="0"/>
    </xf>
    <xf numFmtId="0" fontId="6" fillId="0" borderId="0" xfId="3" applyFont="1" applyAlignment="1" applyProtection="1">
      <alignment horizontal="left"/>
      <protection locked="0"/>
    </xf>
    <xf numFmtId="0" fontId="4" fillId="0" borderId="0" xfId="3"/>
    <xf numFmtId="0" fontId="4" fillId="0" borderId="0" xfId="3" applyProtection="1">
      <protection locked="0"/>
    </xf>
    <xf numFmtId="0" fontId="8" fillId="0" borderId="0" xfId="3" applyFont="1" applyAlignment="1" applyProtection="1">
      <alignment horizontal="right"/>
      <protection locked="0"/>
    </xf>
    <xf numFmtId="0" fontId="8" fillId="0" borderId="0" xfId="3" applyFont="1" applyProtection="1">
      <protection locked="0"/>
    </xf>
    <xf numFmtId="0" fontId="4" fillId="2" borderId="0" xfId="3" applyFill="1" applyProtection="1">
      <protection locked="0"/>
    </xf>
    <xf numFmtId="0" fontId="4" fillId="0" borderId="0" xfId="3" applyAlignment="1" applyProtection="1">
      <alignment horizontal="left"/>
      <protection locked="0"/>
    </xf>
    <xf numFmtId="0" fontId="4" fillId="3" borderId="1" xfId="3" applyFill="1" applyBorder="1" applyAlignment="1">
      <alignment horizontal="center"/>
    </xf>
    <xf numFmtId="0" fontId="4" fillId="3" borderId="3" xfId="3" applyFill="1" applyBorder="1" applyAlignment="1">
      <alignment horizontal="center"/>
    </xf>
    <xf numFmtId="0" fontId="4" fillId="3" borderId="4" xfId="3" applyFill="1" applyBorder="1" applyAlignment="1">
      <alignment horizontal="center"/>
    </xf>
    <xf numFmtId="0" fontId="4" fillId="0" borderId="0" xfId="3" applyAlignment="1" applyProtection="1">
      <alignment horizontal="center"/>
      <protection locked="0"/>
    </xf>
    <xf numFmtId="0" fontId="9" fillId="0" borderId="5" xfId="3" applyFont="1" applyBorder="1" applyAlignment="1" applyProtection="1">
      <alignment horizontal="center"/>
      <protection locked="0"/>
    </xf>
    <xf numFmtId="0" fontId="4" fillId="0" borderId="0" xfId="3" applyAlignment="1">
      <alignment horizontal="center"/>
    </xf>
    <xf numFmtId="0" fontId="4" fillId="0" borderId="0" xfId="3" applyAlignment="1" applyProtection="1">
      <alignment horizontal="center" vertical="center"/>
      <protection locked="0"/>
    </xf>
    <xf numFmtId="0" fontId="4" fillId="0" borderId="0" xfId="3" applyAlignment="1">
      <alignment horizontal="center" vertical="center"/>
    </xf>
    <xf numFmtId="164" fontId="4" fillId="0" borderId="0" xfId="3" applyNumberFormat="1" applyProtection="1">
      <protection locked="0"/>
    </xf>
    <xf numFmtId="0" fontId="15" fillId="0" borderId="0" xfId="3" applyFont="1" applyProtection="1">
      <protection locked="0"/>
    </xf>
    <xf numFmtId="0" fontId="15" fillId="0" borderId="14" xfId="3" applyFont="1" applyBorder="1" applyProtection="1">
      <protection locked="0"/>
    </xf>
    <xf numFmtId="0" fontId="15" fillId="0" borderId="14" xfId="3" applyFont="1" applyBorder="1" applyAlignment="1" applyProtection="1">
      <alignment horizontal="left"/>
      <protection locked="0"/>
    </xf>
    <xf numFmtId="0" fontId="15" fillId="0" borderId="0" xfId="3" applyFont="1"/>
    <xf numFmtId="0" fontId="7" fillId="0" borderId="15" xfId="3" applyFont="1" applyBorder="1" applyProtection="1">
      <protection locked="0"/>
    </xf>
    <xf numFmtId="0" fontId="6" fillId="0" borderId="16" xfId="3" applyFont="1" applyBorder="1" applyProtection="1">
      <protection locked="0"/>
    </xf>
    <xf numFmtId="0" fontId="6" fillId="0" borderId="16" xfId="3" applyFont="1" applyBorder="1" applyAlignment="1" applyProtection="1">
      <alignment horizontal="left"/>
      <protection locked="0"/>
    </xf>
    <xf numFmtId="0" fontId="6" fillId="0" borderId="17" xfId="3" applyFont="1" applyBorder="1" applyProtection="1">
      <protection locked="0"/>
    </xf>
    <xf numFmtId="0" fontId="8" fillId="0" borderId="18" xfId="3" applyFont="1" applyBorder="1" applyAlignment="1" applyProtection="1">
      <alignment horizontal="right"/>
      <protection locked="0"/>
    </xf>
    <xf numFmtId="0" fontId="4" fillId="0" borderId="19" xfId="3" applyBorder="1" applyProtection="1">
      <protection locked="0"/>
    </xf>
    <xf numFmtId="0" fontId="4" fillId="3" borderId="20" xfId="3" applyFill="1" applyBorder="1" applyAlignment="1">
      <alignment horizontal="center"/>
    </xf>
    <xf numFmtId="0" fontId="4" fillId="3" borderId="21" xfId="3" applyFill="1" applyBorder="1" applyAlignment="1">
      <alignment horizontal="center"/>
    </xf>
    <xf numFmtId="0" fontId="9" fillId="0" borderId="22" xfId="3" applyFont="1" applyBorder="1" applyAlignment="1" applyProtection="1">
      <alignment horizontal="center"/>
      <protection locked="0"/>
    </xf>
    <xf numFmtId="0" fontId="9" fillId="0" borderId="23" xfId="3" applyFont="1" applyBorder="1" applyAlignment="1" applyProtection="1">
      <alignment horizontal="center"/>
      <protection locked="0"/>
    </xf>
    <xf numFmtId="0" fontId="12" fillId="3" borderId="24" xfId="3" applyFont="1" applyFill="1" applyBorder="1" applyAlignment="1" applyProtection="1">
      <alignment horizontal="center" vertical="center"/>
      <protection locked="0"/>
    </xf>
    <xf numFmtId="0" fontId="12" fillId="3" borderId="25" xfId="3" applyFont="1" applyFill="1" applyBorder="1" applyAlignment="1" applyProtection="1">
      <alignment horizontal="center" vertical="center"/>
      <protection locked="0"/>
    </xf>
    <xf numFmtId="0" fontId="13" fillId="0" borderId="25" xfId="3" applyFont="1" applyBorder="1" applyAlignment="1" applyProtection="1">
      <alignment horizontal="center" vertical="center"/>
      <protection locked="0"/>
    </xf>
    <xf numFmtId="0" fontId="13" fillId="0" borderId="26" xfId="3" applyFont="1" applyBorder="1" applyAlignment="1" applyProtection="1">
      <alignment horizontal="center" vertical="center"/>
      <protection locked="0"/>
    </xf>
    <xf numFmtId="0" fontId="4" fillId="0" borderId="25" xfId="3" applyBorder="1" applyProtection="1">
      <protection locked="0"/>
    </xf>
    <xf numFmtId="0" fontId="4" fillId="0" borderId="25" xfId="3" applyBorder="1" applyAlignment="1" applyProtection="1">
      <alignment horizontal="center"/>
      <protection locked="0"/>
    </xf>
    <xf numFmtId="2" fontId="14" fillId="0" borderId="25" xfId="3" applyNumberFormat="1" applyFont="1" applyBorder="1" applyAlignment="1">
      <alignment horizontal="center"/>
    </xf>
    <xf numFmtId="0" fontId="4" fillId="0" borderId="26" xfId="3" applyBorder="1" applyAlignment="1" applyProtection="1">
      <alignment horizontal="center"/>
      <protection locked="0"/>
    </xf>
    <xf numFmtId="0" fontId="4" fillId="0" borderId="28" xfId="3" applyBorder="1" applyProtection="1">
      <protection locked="0"/>
    </xf>
    <xf numFmtId="0" fontId="4" fillId="0" borderId="28" xfId="3" applyBorder="1" applyAlignment="1" applyProtection="1">
      <alignment horizontal="center"/>
      <protection locked="0"/>
    </xf>
    <xf numFmtId="2" fontId="14" fillId="0" borderId="28" xfId="3" applyNumberFormat="1" applyFont="1" applyBorder="1" applyAlignment="1">
      <alignment horizontal="center"/>
    </xf>
    <xf numFmtId="0" fontId="4" fillId="0" borderId="29" xfId="3" applyBorder="1" applyAlignment="1" applyProtection="1">
      <alignment horizontal="center"/>
      <protection locked="0"/>
    </xf>
    <xf numFmtId="0" fontId="13" fillId="0" borderId="31" xfId="3" applyFont="1" applyBorder="1" applyAlignment="1" applyProtection="1">
      <alignment horizontal="center" vertical="center"/>
      <protection locked="0"/>
    </xf>
    <xf numFmtId="0" fontId="13" fillId="0" borderId="32" xfId="3" applyFont="1" applyBorder="1" applyAlignment="1" applyProtection="1">
      <alignment horizontal="center" vertical="center"/>
      <protection locked="0"/>
    </xf>
    <xf numFmtId="0" fontId="8" fillId="0" borderId="36" xfId="3" applyFont="1" applyBorder="1" applyProtection="1">
      <protection locked="0"/>
    </xf>
    <xf numFmtId="0" fontId="4" fillId="2" borderId="36" xfId="3" applyFill="1" applyBorder="1" applyProtection="1">
      <protection locked="0"/>
    </xf>
    <xf numFmtId="0" fontId="4" fillId="0" borderId="36" xfId="3" applyBorder="1" applyProtection="1">
      <protection locked="0"/>
    </xf>
    <xf numFmtId="0" fontId="4" fillId="3" borderId="0" xfId="3" applyFill="1" applyAlignment="1">
      <alignment horizontal="center"/>
    </xf>
    <xf numFmtId="0" fontId="4" fillId="3" borderId="19" xfId="3" applyFill="1" applyBorder="1" applyAlignment="1">
      <alignment horizontal="center"/>
    </xf>
    <xf numFmtId="0" fontId="4" fillId="0" borderId="24" xfId="3" applyBorder="1" applyAlignment="1" applyProtection="1">
      <alignment horizontal="left"/>
      <protection locked="0"/>
    </xf>
    <xf numFmtId="0" fontId="4" fillId="0" borderId="25" xfId="3" applyBorder="1" applyAlignment="1" applyProtection="1">
      <alignment horizontal="left"/>
      <protection locked="0"/>
    </xf>
    <xf numFmtId="0" fontId="4" fillId="0" borderId="27" xfId="3" applyBorder="1" applyAlignment="1" applyProtection="1">
      <alignment horizontal="left"/>
      <protection locked="0"/>
    </xf>
    <xf numFmtId="0" fontId="4" fillId="0" borderId="28" xfId="3" applyBorder="1" applyAlignment="1" applyProtection="1">
      <alignment horizontal="left"/>
      <protection locked="0"/>
    </xf>
    <xf numFmtId="0" fontId="17" fillId="0" borderId="46" xfId="1" applyFont="1" applyBorder="1" applyAlignment="1">
      <alignment horizontal="center"/>
    </xf>
    <xf numFmtId="0" fontId="9" fillId="0" borderId="48" xfId="3" applyFont="1" applyBorder="1" applyAlignment="1" applyProtection="1">
      <alignment horizontal="center"/>
      <protection locked="0"/>
    </xf>
    <xf numFmtId="0" fontId="9" fillId="0" borderId="49" xfId="3" applyFont="1" applyBorder="1" applyAlignment="1" applyProtection="1">
      <alignment horizontal="center"/>
      <protection locked="0"/>
    </xf>
    <xf numFmtId="0" fontId="9" fillId="0" borderId="50" xfId="3" applyFont="1" applyBorder="1" applyAlignment="1" applyProtection="1">
      <alignment horizontal="center"/>
      <protection locked="0"/>
    </xf>
    <xf numFmtId="0" fontId="4" fillId="0" borderId="51" xfId="3" applyBorder="1" applyAlignment="1" applyProtection="1">
      <alignment horizontal="center"/>
      <protection locked="0"/>
    </xf>
    <xf numFmtId="0" fontId="9" fillId="0" borderId="52" xfId="3" applyFont="1" applyBorder="1" applyAlignment="1" applyProtection="1">
      <alignment horizontal="center"/>
      <protection locked="0"/>
    </xf>
    <xf numFmtId="0" fontId="3" fillId="0" borderId="0" xfId="5" applyFont="1" applyFill="1" applyBorder="1" applyAlignment="1">
      <alignment horizontal="center"/>
    </xf>
    <xf numFmtId="0" fontId="4" fillId="0" borderId="18" xfId="3" applyBorder="1" applyAlignment="1">
      <alignment horizontal="center"/>
    </xf>
    <xf numFmtId="0" fontId="4" fillId="0" borderId="19" xfId="3" applyBorder="1" applyAlignment="1">
      <alignment horizontal="center"/>
    </xf>
    <xf numFmtId="0" fontId="4" fillId="0" borderId="38" xfId="3" applyBorder="1" applyAlignment="1">
      <alignment horizontal="center"/>
    </xf>
    <xf numFmtId="0" fontId="4" fillId="0" borderId="39" xfId="3" applyBorder="1" applyAlignment="1">
      <alignment horizontal="center"/>
    </xf>
    <xf numFmtId="0" fontId="4" fillId="0" borderId="42" xfId="3" applyBorder="1" applyAlignment="1">
      <alignment horizontal="center"/>
    </xf>
    <xf numFmtId="0" fontId="4" fillId="0" borderId="39" xfId="3" applyBorder="1" applyAlignment="1" applyProtection="1">
      <alignment horizontal="center"/>
      <protection locked="0"/>
    </xf>
    <xf numFmtId="0" fontId="4" fillId="0" borderId="8" xfId="3" applyBorder="1" applyAlignment="1">
      <alignment horizontal="center"/>
    </xf>
    <xf numFmtId="0" fontId="4" fillId="0" borderId="20" xfId="3" applyBorder="1" applyAlignment="1">
      <alignment horizontal="center"/>
    </xf>
    <xf numFmtId="0" fontId="4" fillId="0" borderId="1" xfId="3" applyBorder="1" applyAlignment="1">
      <alignment horizontal="center"/>
    </xf>
    <xf numFmtId="0" fontId="4" fillId="0" borderId="21" xfId="3" applyBorder="1" applyAlignment="1">
      <alignment horizontal="center"/>
    </xf>
    <xf numFmtId="0" fontId="4" fillId="0" borderId="4" xfId="3" applyBorder="1" applyAlignment="1">
      <alignment horizontal="center"/>
    </xf>
    <xf numFmtId="0" fontId="4" fillId="0" borderId="3" xfId="3" applyBorder="1" applyAlignment="1">
      <alignment horizontal="center"/>
    </xf>
    <xf numFmtId="0" fontId="9" fillId="0" borderId="7" xfId="3" applyFont="1" applyBorder="1" applyAlignment="1" applyProtection="1">
      <alignment horizontal="center"/>
      <protection locked="0"/>
    </xf>
    <xf numFmtId="0" fontId="9" fillId="0" borderId="6" xfId="3" applyFont="1" applyBorder="1" applyAlignment="1" applyProtection="1">
      <alignment horizontal="center"/>
      <protection locked="0"/>
    </xf>
    <xf numFmtId="0" fontId="4" fillId="0" borderId="9" xfId="3" applyBorder="1" applyAlignment="1">
      <alignment horizontal="center"/>
    </xf>
    <xf numFmtId="0" fontId="4" fillId="0" borderId="41" xfId="3" applyBorder="1" applyAlignment="1">
      <alignment horizontal="center"/>
    </xf>
    <xf numFmtId="0" fontId="4" fillId="0" borderId="40" xfId="3" applyBorder="1" applyAlignment="1">
      <alignment horizontal="center"/>
    </xf>
    <xf numFmtId="0" fontId="16" fillId="0" borderId="0" xfId="3" applyFont="1" applyAlignment="1">
      <alignment horizontal="center"/>
    </xf>
    <xf numFmtId="0" fontId="2" fillId="0" borderId="0" xfId="4" applyFont="1" applyFill="1" applyProtection="1">
      <protection locked="0"/>
    </xf>
    <xf numFmtId="0" fontId="4" fillId="12" borderId="0" xfId="3" applyFill="1" applyAlignment="1">
      <alignment horizontal="center"/>
    </xf>
    <xf numFmtId="0" fontId="4" fillId="12" borderId="39" xfId="3" applyFill="1" applyBorder="1" applyAlignment="1">
      <alignment horizontal="center"/>
    </xf>
    <xf numFmtId="0" fontId="4" fillId="12" borderId="0" xfId="1" applyFill="1" applyAlignment="1">
      <alignment horizontal="center"/>
    </xf>
    <xf numFmtId="0" fontId="16" fillId="12" borderId="0" xfId="3" applyFont="1" applyFill="1" applyAlignment="1">
      <alignment horizontal="center"/>
    </xf>
    <xf numFmtId="0" fontId="4" fillId="13" borderId="0" xfId="3" applyFill="1" applyAlignment="1">
      <alignment horizontal="center"/>
    </xf>
    <xf numFmtId="0" fontId="1" fillId="0" borderId="0" xfId="4" applyFont="1" applyFill="1" applyProtection="1">
      <protection locked="0"/>
    </xf>
    <xf numFmtId="0" fontId="6" fillId="0" borderId="0" xfId="3" applyFont="1" applyAlignment="1" applyProtection="1">
      <alignment horizontal="center"/>
      <protection locked="0"/>
    </xf>
    <xf numFmtId="0" fontId="8" fillId="0" borderId="33" xfId="3" applyFont="1" applyBorder="1" applyAlignment="1" applyProtection="1">
      <alignment horizontal="right"/>
      <protection locked="0"/>
    </xf>
    <xf numFmtId="0" fontId="8" fillId="0" borderId="34" xfId="3" applyFont="1" applyBorder="1" applyAlignment="1" applyProtection="1">
      <alignment horizontal="right"/>
      <protection locked="0"/>
    </xf>
    <xf numFmtId="0" fontId="9" fillId="0" borderId="36" xfId="3" applyFont="1" applyBorder="1" applyAlignment="1" applyProtection="1">
      <alignment horizontal="center"/>
      <protection locked="0"/>
    </xf>
    <xf numFmtId="0" fontId="4" fillId="0" borderId="43" xfId="3" applyBorder="1" applyAlignment="1" applyProtection="1">
      <alignment horizontal="right" indent="1"/>
      <protection locked="0"/>
    </xf>
    <xf numFmtId="0" fontId="4" fillId="0" borderId="37" xfId="3" applyBorder="1" applyAlignment="1" applyProtection="1">
      <alignment horizontal="right" indent="1"/>
      <protection locked="0"/>
    </xf>
    <xf numFmtId="0" fontId="9" fillId="0" borderId="2" xfId="3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2" fillId="0" borderId="33" xfId="3" applyFont="1" applyBorder="1" applyAlignment="1" applyProtection="1">
      <alignment horizontal="center"/>
      <protection locked="0"/>
    </xf>
    <xf numFmtId="0" fontId="12" fillId="0" borderId="34" xfId="3" applyFont="1" applyBorder="1" applyAlignment="1" applyProtection="1">
      <alignment horizontal="center"/>
      <protection locked="0"/>
    </xf>
    <xf numFmtId="0" fontId="12" fillId="0" borderId="35" xfId="3" applyFont="1" applyBorder="1" applyAlignment="1" applyProtection="1">
      <alignment horizontal="center"/>
      <protection locked="0"/>
    </xf>
    <xf numFmtId="0" fontId="12" fillId="3" borderId="30" xfId="3" applyFont="1" applyFill="1" applyBorder="1" applyAlignment="1" applyProtection="1">
      <alignment horizontal="center" vertical="center"/>
      <protection locked="0"/>
    </xf>
    <xf numFmtId="0" fontId="12" fillId="3" borderId="31" xfId="3" applyFont="1" applyFill="1" applyBorder="1" applyAlignment="1" applyProtection="1">
      <alignment horizontal="center" vertical="center"/>
      <protection locked="0"/>
    </xf>
    <xf numFmtId="0" fontId="13" fillId="0" borderId="31" xfId="3" applyFont="1" applyBorder="1" applyAlignment="1" applyProtection="1">
      <alignment horizontal="center" vertical="center"/>
      <protection locked="0"/>
    </xf>
    <xf numFmtId="0" fontId="13" fillId="3" borderId="31" xfId="3" applyFont="1" applyFill="1" applyBorder="1" applyAlignment="1" applyProtection="1">
      <alignment horizontal="center" vertical="center"/>
      <protection locked="0"/>
    </xf>
    <xf numFmtId="0" fontId="13" fillId="0" borderId="25" xfId="3" applyFont="1" applyBorder="1" applyAlignment="1" applyProtection="1">
      <alignment horizontal="center" vertical="center"/>
      <protection locked="0"/>
    </xf>
    <xf numFmtId="0" fontId="13" fillId="3" borderId="25" xfId="3" applyFont="1" applyFill="1" applyBorder="1" applyAlignment="1" applyProtection="1">
      <alignment horizontal="center" vertical="center"/>
      <protection locked="0"/>
    </xf>
    <xf numFmtId="0" fontId="20" fillId="0" borderId="53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2" fontId="13" fillId="0" borderId="25" xfId="3" applyNumberFormat="1" applyFont="1" applyBorder="1" applyAlignment="1" applyProtection="1">
      <alignment horizontal="center"/>
      <protection locked="0"/>
    </xf>
    <xf numFmtId="2" fontId="12" fillId="3" borderId="25" xfId="3" applyNumberFormat="1" applyFont="1" applyFill="1" applyBorder="1" applyAlignment="1" applyProtection="1">
      <alignment horizontal="right" indent="1"/>
      <protection locked="0"/>
    </xf>
    <xf numFmtId="2" fontId="13" fillId="0" borderId="25" xfId="3" applyNumberFormat="1" applyFont="1" applyBorder="1" applyAlignment="1">
      <alignment horizontal="center"/>
    </xf>
    <xf numFmtId="0" fontId="13" fillId="3" borderId="25" xfId="3" applyFont="1" applyFill="1" applyBorder="1" applyAlignment="1" applyProtection="1">
      <alignment horizontal="center"/>
      <protection locked="0"/>
    </xf>
    <xf numFmtId="2" fontId="13" fillId="0" borderId="25" xfId="3" applyNumberFormat="1" applyFont="1" applyBorder="1" applyAlignment="1">
      <alignment horizontal="right" indent="1"/>
    </xf>
    <xf numFmtId="2" fontId="13" fillId="0" borderId="25" xfId="3" applyNumberFormat="1" applyFont="1" applyBorder="1" applyAlignment="1" applyProtection="1">
      <alignment horizontal="right" indent="1"/>
      <protection locked="0"/>
    </xf>
    <xf numFmtId="0" fontId="4" fillId="0" borderId="44" xfId="3" applyBorder="1" applyAlignment="1" applyProtection="1">
      <alignment horizontal="left"/>
      <protection locked="0"/>
    </xf>
    <xf numFmtId="0" fontId="4" fillId="0" borderId="45" xfId="3" applyBorder="1" applyAlignment="1" applyProtection="1">
      <alignment horizontal="left"/>
      <protection locked="0"/>
    </xf>
    <xf numFmtId="0" fontId="17" fillId="0" borderId="46" xfId="1" applyFont="1" applyBorder="1" applyAlignment="1" applyProtection="1">
      <alignment horizontal="center"/>
      <protection locked="0"/>
    </xf>
    <xf numFmtId="0" fontId="20" fillId="0" borderId="54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2" fontId="13" fillId="0" borderId="28" xfId="3" applyNumberFormat="1" applyFont="1" applyBorder="1" applyAlignment="1" applyProtection="1">
      <alignment horizontal="right" indent="1"/>
      <protection locked="0"/>
    </xf>
    <xf numFmtId="2" fontId="13" fillId="0" borderId="28" xfId="3" applyNumberFormat="1" applyFont="1" applyBorder="1" applyAlignment="1" applyProtection="1">
      <alignment horizontal="center"/>
      <protection locked="0"/>
    </xf>
    <xf numFmtId="0" fontId="13" fillId="3" borderId="28" xfId="3" applyFont="1" applyFill="1" applyBorder="1" applyAlignment="1" applyProtection="1">
      <alignment horizontal="center"/>
      <protection locked="0"/>
    </xf>
    <xf numFmtId="2" fontId="13" fillId="0" borderId="28" xfId="3" applyNumberFormat="1" applyFont="1" applyBorder="1" applyAlignment="1">
      <alignment horizontal="right" indent="1"/>
    </xf>
  </cellXfs>
  <cellStyles count="6">
    <cellStyle name="Bad" xfId="4" builtinId="27"/>
    <cellStyle name="Check Cell" xfId="5" builtinId="23"/>
    <cellStyle name="Normal" xfId="0" builtinId="0"/>
    <cellStyle name="Normal 2" xfId="1" xr:uid="{00000000-0005-0000-0000-000003000000}"/>
    <cellStyle name="Normal 2 2" xfId="2" xr:uid="{00000000-0005-0000-0000-000004000000}"/>
    <cellStyle name="Normal 2 3" xfId="3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26</xdr:col>
      <xdr:colOff>0</xdr:colOff>
      <xdr:row>51</xdr:row>
      <xdr:rowOff>83008</xdr:rowOff>
    </xdr:from>
    <xdr:to>
      <xdr:col>26</xdr:col>
      <xdr:colOff>360</xdr:colOff>
      <xdr:row>51</xdr:row>
      <xdr:rowOff>85370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696880" y="7971120"/>
          <a:ext cx="360" cy="360"/>
        </a:xfrm>
        <a:prstGeom prst="rect">
          <a:avLst/>
        </a:prstGeom>
        <a:solidFill>
          <a:srgbClr val="99CCFF">
            <a:alpha val="51000"/>
          </a:srgbClr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360</xdr:colOff>
      <xdr:row>51</xdr:row>
      <xdr:rowOff>85370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696880" y="7971120"/>
          <a:ext cx="360" cy="360"/>
        </a:xfrm>
        <a:prstGeom prst="rect">
          <a:avLst/>
        </a:prstGeom>
        <a:solidFill>
          <a:srgbClr val="3366FF">
            <a:alpha val="51000"/>
          </a:srgbClr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6" name="Freeform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>
    <xdr:from>
      <xdr:col>26</xdr:col>
      <xdr:colOff>0</xdr:colOff>
      <xdr:row>53</xdr:row>
      <xdr:rowOff>0</xdr:rowOff>
    </xdr:from>
    <xdr:to>
      <xdr:col>26</xdr:col>
      <xdr:colOff>360</xdr:colOff>
      <xdr:row>53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696880" y="7971120"/>
          <a:ext cx="360" cy="360"/>
        </a:xfrm>
        <a:prstGeom prst="rect">
          <a:avLst/>
        </a:prstGeom>
        <a:solidFill>
          <a:srgbClr val="FFFF00">
            <a:alpha val="51000"/>
          </a:srgbClr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0</xdr:colOff>
      <xdr:row>51</xdr:row>
      <xdr:rowOff>83008</xdr:rowOff>
    </xdr:from>
    <xdr:to>
      <xdr:col>24</xdr:col>
      <xdr:colOff>0</xdr:colOff>
      <xdr:row>51</xdr:row>
      <xdr:rowOff>83008</xdr:rowOff>
    </xdr:to>
    <xdr:sp macro="" textlink="">
      <xdr:nvSpPr>
        <xdr:cNvPr id="8" name="Freeform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932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24</xdr:col>
      <xdr:colOff>0</xdr:colOff>
      <xdr:row>51</xdr:row>
      <xdr:rowOff>83008</xdr:rowOff>
    </xdr:from>
    <xdr:to>
      <xdr:col>24</xdr:col>
      <xdr:colOff>0</xdr:colOff>
      <xdr:row>51</xdr:row>
      <xdr:rowOff>83008</xdr:rowOff>
    </xdr:to>
    <xdr:sp macro="" textlink="">
      <xdr:nvSpPr>
        <xdr:cNvPr id="9" name="Freeform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32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53</xdr:row>
      <xdr:rowOff>0</xdr:rowOff>
    </xdr:from>
    <xdr:to>
      <xdr:col>24</xdr:col>
      <xdr:colOff>0</xdr:colOff>
      <xdr:row>53</xdr:row>
      <xdr:rowOff>0</xdr:rowOff>
    </xdr:to>
    <xdr:sp macro="" textlink="">
      <xdr:nvSpPr>
        <xdr:cNvPr id="10" name="Freeform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932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24</xdr:col>
      <xdr:colOff>0</xdr:colOff>
      <xdr:row>51</xdr:row>
      <xdr:rowOff>83008</xdr:rowOff>
    </xdr:from>
    <xdr:to>
      <xdr:col>24</xdr:col>
      <xdr:colOff>0</xdr:colOff>
      <xdr:row>51</xdr:row>
      <xdr:rowOff>83008</xdr:rowOff>
    </xdr:to>
    <xdr:sp macro="" textlink="">
      <xdr:nvSpPr>
        <xdr:cNvPr id="11" name="Freeform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932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24</xdr:col>
      <xdr:colOff>0</xdr:colOff>
      <xdr:row>51</xdr:row>
      <xdr:rowOff>83008</xdr:rowOff>
    </xdr:from>
    <xdr:to>
      <xdr:col>24</xdr:col>
      <xdr:colOff>0</xdr:colOff>
      <xdr:row>51</xdr:row>
      <xdr:rowOff>83008</xdr:rowOff>
    </xdr:to>
    <xdr:sp macro="" textlink="">
      <xdr:nvSpPr>
        <xdr:cNvPr id="12" name="Freeform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932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>
    <xdr:from>
      <xdr:col>24</xdr:col>
      <xdr:colOff>0</xdr:colOff>
      <xdr:row>53</xdr:row>
      <xdr:rowOff>0</xdr:rowOff>
    </xdr:from>
    <xdr:to>
      <xdr:col>24</xdr:col>
      <xdr:colOff>360</xdr:colOff>
      <xdr:row>53</xdr:row>
      <xdr:rowOff>360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932880" y="7971120"/>
          <a:ext cx="360" cy="360"/>
        </a:xfrm>
        <a:prstGeom prst="rect">
          <a:avLst/>
        </a:prstGeom>
        <a:solidFill>
          <a:srgbClr val="FFFF00">
            <a:alpha val="51000"/>
          </a:srgbClr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0</xdr:colOff>
      <xdr:row>51</xdr:row>
      <xdr:rowOff>83008</xdr:rowOff>
    </xdr:from>
    <xdr:to>
      <xdr:col>24</xdr:col>
      <xdr:colOff>360</xdr:colOff>
      <xdr:row>51</xdr:row>
      <xdr:rowOff>85370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932880" y="7971120"/>
          <a:ext cx="360" cy="360"/>
        </a:xfrm>
        <a:prstGeom prst="rect">
          <a:avLst/>
        </a:prstGeom>
        <a:solidFill>
          <a:srgbClr val="99CCFF">
            <a:alpha val="51000"/>
          </a:srgbClr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0</xdr:colOff>
      <xdr:row>51</xdr:row>
      <xdr:rowOff>83008</xdr:rowOff>
    </xdr:from>
    <xdr:to>
      <xdr:col>24</xdr:col>
      <xdr:colOff>0</xdr:colOff>
      <xdr:row>51</xdr:row>
      <xdr:rowOff>83008</xdr:rowOff>
    </xdr:to>
    <xdr:sp macro="" textlink="">
      <xdr:nvSpPr>
        <xdr:cNvPr id="15" name="Freeform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932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360</xdr:colOff>
      <xdr:row>51</xdr:row>
      <xdr:rowOff>85370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696880" y="7971120"/>
          <a:ext cx="360" cy="360"/>
        </a:xfrm>
        <a:prstGeom prst="rect">
          <a:avLst/>
        </a:prstGeom>
        <a:solidFill>
          <a:srgbClr val="99CCFF">
            <a:alpha val="51000"/>
          </a:srgbClr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17" name="Freeform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360</xdr:colOff>
      <xdr:row>51</xdr:row>
      <xdr:rowOff>85370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696880" y="7971120"/>
          <a:ext cx="360" cy="360"/>
        </a:xfrm>
        <a:prstGeom prst="rect">
          <a:avLst/>
        </a:prstGeom>
        <a:solidFill>
          <a:srgbClr val="3366FF">
            <a:alpha val="51000"/>
          </a:srgbClr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19" name="Freeform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0" name="Freeform 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1" name="Freeform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2" name="Freeform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3" name="Freeform 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4" name="Freeform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5" name="Freeform 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6" name="Freeform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7" name="Freeform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28" name="Freeform 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360</xdr:colOff>
      <xdr:row>51</xdr:row>
      <xdr:rowOff>85370</xdr:rowOff>
    </xdr:to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696880" y="7971120"/>
          <a:ext cx="360" cy="360"/>
        </a:xfrm>
        <a:prstGeom prst="rect">
          <a:avLst/>
        </a:prstGeom>
        <a:solidFill>
          <a:srgbClr val="3366FF">
            <a:alpha val="51000"/>
          </a:srgbClr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30" name="Freeform 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26</xdr:col>
      <xdr:colOff>0</xdr:colOff>
      <xdr:row>51</xdr:row>
      <xdr:rowOff>83008</xdr:rowOff>
    </xdr:from>
    <xdr:to>
      <xdr:col>26</xdr:col>
      <xdr:colOff>0</xdr:colOff>
      <xdr:row>51</xdr:row>
      <xdr:rowOff>83008</xdr:rowOff>
    </xdr:to>
    <xdr:sp macro="" textlink="">
      <xdr:nvSpPr>
        <xdr:cNvPr id="31" name="Freeform 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696880" y="797112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7"/>
  <sheetViews>
    <sheetView showGridLines="0" showZeros="0" tabSelected="1" defaultGridColor="0" topLeftCell="A9" colorId="18" zoomScale="115" zoomScaleNormal="115" workbookViewId="0">
      <selection activeCell="Y54" sqref="Y54"/>
    </sheetView>
  </sheetViews>
  <sheetFormatPr defaultRowHeight="12.6" x14ac:dyDescent="0.45"/>
  <cols>
    <col min="1" max="1" width="1.5546875" style="1" customWidth="1"/>
    <col min="2" max="6" width="4.5546875" style="2" customWidth="1"/>
    <col min="7" max="7" width="4.44140625" style="2" customWidth="1"/>
    <col min="8" max="8" width="4.5546875" style="2" customWidth="1"/>
    <col min="9" max="9" width="0.44140625" style="2" customWidth="1"/>
    <col min="10" max="10" width="4.5546875" style="3" customWidth="1"/>
    <col min="11" max="16" width="4.5546875" style="2" customWidth="1"/>
    <col min="17" max="17" width="0.44140625" style="2" customWidth="1"/>
    <col min="18" max="23" width="4.5546875" style="2" customWidth="1"/>
    <col min="24" max="24" width="5.44140625" style="2" customWidth="1"/>
    <col min="25" max="25" width="15.6640625" style="2" customWidth="1"/>
    <col min="26" max="26" width="9.21875" style="2" customWidth="1"/>
    <col min="27" max="1025" width="8.6640625" style="4" customWidth="1"/>
  </cols>
  <sheetData>
    <row r="1" spans="1:27" ht="5.25" customHeight="1" thickTop="1" thickBot="1" x14ac:dyDescent="0.55000000000000004">
      <c r="B1" s="23"/>
      <c r="C1" s="24"/>
      <c r="D1" s="24"/>
      <c r="E1" s="24"/>
      <c r="F1" s="24"/>
      <c r="G1" s="24"/>
      <c r="H1" s="24"/>
      <c r="I1" s="24"/>
      <c r="J1" s="25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6"/>
    </row>
    <row r="2" spans="1:27" s="4" customFormat="1" ht="15.6" thickTop="1" thickBot="1" x14ac:dyDescent="0.55000000000000004">
      <c r="A2" s="5"/>
      <c r="B2" s="89">
        <v>2025</v>
      </c>
      <c r="C2" s="90"/>
      <c r="D2" s="47" t="s">
        <v>0</v>
      </c>
      <c r="E2" s="47"/>
      <c r="F2" s="48"/>
      <c r="G2" s="49"/>
      <c r="H2" s="49"/>
      <c r="I2" s="49"/>
      <c r="J2" s="91" t="s">
        <v>49</v>
      </c>
      <c r="K2" s="91"/>
      <c r="L2" s="91"/>
      <c r="M2" s="91"/>
      <c r="N2" s="91"/>
      <c r="O2" s="91"/>
      <c r="P2" s="91"/>
      <c r="Q2" s="49"/>
      <c r="R2" s="92" t="s">
        <v>50</v>
      </c>
      <c r="S2" s="92"/>
      <c r="T2" s="92"/>
      <c r="U2" s="92"/>
      <c r="V2" s="92"/>
      <c r="W2" s="92"/>
      <c r="X2" s="93"/>
      <c r="Y2" s="5"/>
      <c r="Z2" s="5"/>
    </row>
    <row r="3" spans="1:27" s="4" customFormat="1" ht="1.5" customHeight="1" thickTop="1" thickBot="1" x14ac:dyDescent="0.55000000000000004">
      <c r="A3" s="5"/>
      <c r="B3" s="27"/>
      <c r="C3" s="6">
        <v>2008</v>
      </c>
      <c r="D3" s="7"/>
      <c r="E3" s="7"/>
      <c r="F3" s="8"/>
      <c r="G3" s="5"/>
      <c r="H3" s="5"/>
      <c r="I3" s="5"/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8"/>
      <c r="Y3" s="5"/>
      <c r="Z3" s="5"/>
    </row>
    <row r="4" spans="1:27" s="4" customFormat="1" thickBot="1" x14ac:dyDescent="0.45">
      <c r="A4" s="5"/>
      <c r="B4" s="29"/>
      <c r="C4" s="10"/>
      <c r="D4" s="94" t="s">
        <v>1</v>
      </c>
      <c r="E4" s="94"/>
      <c r="F4" s="94"/>
      <c r="G4" s="50"/>
      <c r="H4" s="51"/>
      <c r="I4" s="5"/>
      <c r="J4" s="12"/>
      <c r="K4" s="10"/>
      <c r="L4" s="94" t="s">
        <v>2</v>
      </c>
      <c r="M4" s="94"/>
      <c r="N4" s="94"/>
      <c r="O4" s="10"/>
      <c r="P4" s="11"/>
      <c r="Q4" s="5"/>
      <c r="R4" s="29"/>
      <c r="S4" s="10"/>
      <c r="T4" s="94" t="s">
        <v>3</v>
      </c>
      <c r="U4" s="94"/>
      <c r="V4" s="94"/>
      <c r="W4" s="10"/>
      <c r="X4" s="30"/>
      <c r="Y4" s="5"/>
      <c r="Z4" s="5"/>
    </row>
    <row r="5" spans="1:27" s="15" customFormat="1" ht="12.9" thickTop="1" thickBot="1" x14ac:dyDescent="0.45">
      <c r="A5" s="13"/>
      <c r="B5" s="31" t="s">
        <v>4</v>
      </c>
      <c r="C5" s="14" t="s">
        <v>5</v>
      </c>
      <c r="D5" s="14" t="s">
        <v>6</v>
      </c>
      <c r="E5" s="14" t="s">
        <v>7</v>
      </c>
      <c r="F5" s="14" t="s">
        <v>6</v>
      </c>
      <c r="G5" s="14" t="s">
        <v>8</v>
      </c>
      <c r="H5" s="32" t="s">
        <v>4</v>
      </c>
      <c r="I5" s="13"/>
      <c r="J5" s="57" t="s">
        <v>4</v>
      </c>
      <c r="K5" s="58" t="s">
        <v>5</v>
      </c>
      <c r="L5" s="58" t="s">
        <v>6</v>
      </c>
      <c r="M5" s="58" t="s">
        <v>7</v>
      </c>
      <c r="N5" s="58" t="s">
        <v>6</v>
      </c>
      <c r="O5" s="58" t="s">
        <v>8</v>
      </c>
      <c r="P5" s="59" t="s">
        <v>4</v>
      </c>
      <c r="Q5" s="60"/>
      <c r="R5" s="61" t="s">
        <v>4</v>
      </c>
      <c r="S5" s="14" t="s">
        <v>5</v>
      </c>
      <c r="T5" s="14" t="s">
        <v>6</v>
      </c>
      <c r="U5" s="14" t="s">
        <v>7</v>
      </c>
      <c r="V5" s="14" t="s">
        <v>6</v>
      </c>
      <c r="W5" s="14" t="s">
        <v>8</v>
      </c>
      <c r="X5" s="32" t="s">
        <v>4</v>
      </c>
      <c r="Y5" s="13"/>
      <c r="Z5" s="13"/>
    </row>
    <row r="6" spans="1:27" s="15" customFormat="1" thickTop="1" x14ac:dyDescent="0.4">
      <c r="A6" s="13"/>
      <c r="B6" s="63" t="str">
        <f t="array" ref="B6:H11">IF(MONTH(DATE(PTOYEAR,1,1))&lt;&gt;MONTH(DATE(PTOYEAR,1,1)-(WEEKDAY(DATE(PTOYEAR,1,1))-1)+{0;1;2;3;4;5}*7+{1,2,3,4,5,6,7}-1),"",DAY(DATE(PTOYEAR,1,1)-(WEEKDAY(DATE(PTOYEAR,1,1))-1)+{0;1;2;3;4;5}*7+{1,2,3,4,5,6,7}-1))</f>
        <v/>
      </c>
      <c r="C6" s="15" t="str">
        <v/>
      </c>
      <c r="D6" s="15" t="str">
        <v/>
      </c>
      <c r="E6" s="15">
        <v>1</v>
      </c>
      <c r="F6" s="15">
        <v>2</v>
      </c>
      <c r="G6" s="15">
        <v>3</v>
      </c>
      <c r="H6" s="64">
        <v>4</v>
      </c>
      <c r="I6" s="13"/>
      <c r="J6" s="15" t="str">
        <f t="array" ref="J6:P11">IF(MONTH(DATE(PTOYEAR,5,1))&lt;&gt;MONTH(DATE(PTOYEAR,5,1)-(WEEKDAY(DATE(PTOYEAR,5,1))-1)+{0;1;2;3;4;5}*7+{1,2,3,4,5,6,7}-1),"",DAY(DATE(PTOYEAR,5,1)-(WEEKDAY(DATE(PTOYEAR,5,1))-1)+{0;1;2;3;4;5}*7+{1,2,3,4,5,6,7}-1))</f>
        <v/>
      </c>
      <c r="K6" s="15" t="str">
        <v/>
      </c>
      <c r="L6" s="15" t="str">
        <v/>
      </c>
      <c r="M6" s="15" t="str">
        <v/>
      </c>
      <c r="N6" s="15">
        <v>1</v>
      </c>
      <c r="O6" s="15">
        <v>2</v>
      </c>
      <c r="P6" s="15">
        <v>3</v>
      </c>
      <c r="Q6" s="13"/>
      <c r="R6" s="63" t="str">
        <f t="array" ref="R6:X11">IF(MONTH(DATE(PTOYEAR,9,1))&lt;&gt;MONTH(DATE(PTOYEAR,9,1)-(WEEKDAY(DATE(PTOYEAR,9,1))-1)+{0;1;2;3;4;5}*7+{1,2,3,4,5,6,7}-1),"",DAY(DATE(PTOYEAR,9,1)-(WEEKDAY(DATE(PTOYEAR,9,1))-1)+{0;1;2;3;4;5}*7+{1,2,3,4,5,6,7}-1))</f>
        <v/>
      </c>
      <c r="S6" s="82">
        <v>1</v>
      </c>
      <c r="T6" s="15">
        <v>2</v>
      </c>
      <c r="U6" s="15">
        <v>3</v>
      </c>
      <c r="V6" s="15">
        <v>4</v>
      </c>
      <c r="W6" s="15">
        <v>5</v>
      </c>
      <c r="X6" s="64">
        <v>6</v>
      </c>
      <c r="Y6" s="13"/>
      <c r="Z6" s="13"/>
    </row>
    <row r="7" spans="1:27" s="15" customFormat="1" thickBot="1" x14ac:dyDescent="0.45">
      <c r="A7" s="13"/>
      <c r="B7" s="63">
        <v>5</v>
      </c>
      <c r="C7" s="15">
        <v>6</v>
      </c>
      <c r="D7" s="15">
        <v>7</v>
      </c>
      <c r="E7" s="15">
        <v>8</v>
      </c>
      <c r="F7" s="15">
        <v>9</v>
      </c>
      <c r="G7" s="15">
        <v>10</v>
      </c>
      <c r="H7" s="64">
        <v>11</v>
      </c>
      <c r="I7" s="13"/>
      <c r="J7" s="15">
        <v>4</v>
      </c>
      <c r="K7" s="15">
        <v>5</v>
      </c>
      <c r="L7" s="15">
        <v>6</v>
      </c>
      <c r="M7" s="15">
        <v>7</v>
      </c>
      <c r="N7" s="15">
        <v>8</v>
      </c>
      <c r="O7" s="15">
        <v>9</v>
      </c>
      <c r="P7" s="15">
        <v>10</v>
      </c>
      <c r="Q7" s="13"/>
      <c r="R7" s="63">
        <v>7</v>
      </c>
      <c r="S7" s="15">
        <v>8</v>
      </c>
      <c r="T7" s="15">
        <v>9</v>
      </c>
      <c r="U7" s="15">
        <v>10</v>
      </c>
      <c r="V7" s="15">
        <v>11</v>
      </c>
      <c r="W7" s="15">
        <v>12</v>
      </c>
      <c r="X7" s="64">
        <v>13</v>
      </c>
      <c r="Y7" s="13"/>
      <c r="Z7" s="13"/>
    </row>
    <row r="8" spans="1:27" s="15" customFormat="1" ht="14.7" thickBot="1" x14ac:dyDescent="0.6">
      <c r="A8" s="13"/>
      <c r="B8" s="63">
        <v>12</v>
      </c>
      <c r="C8" s="15">
        <v>13</v>
      </c>
      <c r="D8" s="15">
        <v>14</v>
      </c>
      <c r="E8" s="15">
        <v>15</v>
      </c>
      <c r="F8" s="15">
        <v>16</v>
      </c>
      <c r="G8" s="15">
        <v>17</v>
      </c>
      <c r="H8" s="64">
        <v>18</v>
      </c>
      <c r="I8" s="13"/>
      <c r="J8" s="15">
        <v>11</v>
      </c>
      <c r="K8" s="15">
        <v>12</v>
      </c>
      <c r="L8" s="15">
        <v>13</v>
      </c>
      <c r="M8" s="15">
        <v>14</v>
      </c>
      <c r="N8" s="15">
        <v>15</v>
      </c>
      <c r="O8" s="62">
        <v>16</v>
      </c>
      <c r="P8" s="15">
        <v>17</v>
      </c>
      <c r="Q8" s="13"/>
      <c r="R8" s="63">
        <v>14</v>
      </c>
      <c r="S8" s="15">
        <v>15</v>
      </c>
      <c r="T8" s="15">
        <v>16</v>
      </c>
      <c r="U8" s="15">
        <v>17</v>
      </c>
      <c r="V8" s="15">
        <v>18</v>
      </c>
      <c r="W8" s="15">
        <v>19</v>
      </c>
      <c r="X8" s="64">
        <v>20</v>
      </c>
      <c r="Y8" s="13"/>
      <c r="Z8" s="95" t="s">
        <v>9</v>
      </c>
      <c r="AA8" s="95"/>
    </row>
    <row r="9" spans="1:27" s="15" customFormat="1" ht="12.9" x14ac:dyDescent="0.4">
      <c r="A9" s="13"/>
      <c r="B9" s="63">
        <v>19</v>
      </c>
      <c r="C9" s="15">
        <v>20</v>
      </c>
      <c r="D9" s="15">
        <v>21</v>
      </c>
      <c r="E9" s="15">
        <v>22</v>
      </c>
      <c r="F9" s="15">
        <v>23</v>
      </c>
      <c r="G9" s="15">
        <v>24</v>
      </c>
      <c r="H9" s="64">
        <v>25</v>
      </c>
      <c r="I9" s="13"/>
      <c r="J9" s="15">
        <v>18</v>
      </c>
      <c r="K9" s="15">
        <v>19</v>
      </c>
      <c r="L9" s="15">
        <v>20</v>
      </c>
      <c r="M9" s="15">
        <v>21</v>
      </c>
      <c r="N9" s="15">
        <v>22</v>
      </c>
      <c r="O9" s="15">
        <v>23</v>
      </c>
      <c r="P9" s="15">
        <v>24</v>
      </c>
      <c r="Q9" s="13"/>
      <c r="R9" s="63">
        <v>21</v>
      </c>
      <c r="S9" s="82">
        <v>22</v>
      </c>
      <c r="T9" s="82">
        <v>23</v>
      </c>
      <c r="U9" s="82">
        <v>24</v>
      </c>
      <c r="V9" s="82">
        <v>25</v>
      </c>
      <c r="W9" s="82">
        <v>26</v>
      </c>
      <c r="X9" s="64">
        <v>27</v>
      </c>
      <c r="Y9" s="13"/>
      <c r="Z9" s="96" t="s">
        <v>10</v>
      </c>
      <c r="AA9" s="96"/>
    </row>
    <row r="10" spans="1:27" s="15" customFormat="1" ht="12.9" x14ac:dyDescent="0.4">
      <c r="A10" s="13"/>
      <c r="B10" s="63">
        <v>26</v>
      </c>
      <c r="C10" s="15">
        <v>27</v>
      </c>
      <c r="D10" s="15">
        <v>28</v>
      </c>
      <c r="E10" s="15">
        <v>29</v>
      </c>
      <c r="F10" s="15">
        <v>30</v>
      </c>
      <c r="G10" s="15">
        <v>31</v>
      </c>
      <c r="H10" s="64" t="str">
        <v/>
      </c>
      <c r="I10" s="13"/>
      <c r="J10" s="15">
        <v>25</v>
      </c>
      <c r="K10" s="82">
        <v>26</v>
      </c>
      <c r="L10" s="15">
        <v>27</v>
      </c>
      <c r="M10">
        <v>28</v>
      </c>
      <c r="N10" s="15">
        <v>29</v>
      </c>
      <c r="O10" s="15">
        <v>30</v>
      </c>
      <c r="P10" s="15">
        <v>31</v>
      </c>
      <c r="Q10" s="13"/>
      <c r="R10" s="63">
        <v>28</v>
      </c>
      <c r="S10" s="84">
        <v>29</v>
      </c>
      <c r="T10" s="15">
        <v>30</v>
      </c>
      <c r="U10" s="15" t="str">
        <v/>
      </c>
      <c r="V10" s="15" t="str">
        <v/>
      </c>
      <c r="W10" s="15" t="str">
        <v/>
      </c>
      <c r="X10" s="64" t="str">
        <v/>
      </c>
      <c r="Y10" s="13"/>
      <c r="Z10" s="97" t="s">
        <v>11</v>
      </c>
      <c r="AA10" s="97"/>
    </row>
    <row r="11" spans="1:27" s="15" customFormat="1" ht="13.2" thickBot="1" x14ac:dyDescent="0.45">
      <c r="A11" s="13"/>
      <c r="B11" s="65" t="str">
        <v/>
      </c>
      <c r="C11" s="66" t="str">
        <v/>
      </c>
      <c r="D11" s="66" t="str">
        <v/>
      </c>
      <c r="E11" s="66" t="str">
        <v/>
      </c>
      <c r="F11" s="66" t="str">
        <v/>
      </c>
      <c r="G11" s="66" t="str">
        <v/>
      </c>
      <c r="H11" s="67" t="str">
        <v/>
      </c>
      <c r="I11" s="68"/>
      <c r="J11" s="66" t="str">
        <v/>
      </c>
      <c r="K11" s="66" t="str">
        <v/>
      </c>
      <c r="L11" s="66" t="str">
        <v/>
      </c>
      <c r="M11" s="66" t="str">
        <v/>
      </c>
      <c r="N11" s="66" t="str">
        <v/>
      </c>
      <c r="O11" s="66" t="str">
        <v/>
      </c>
      <c r="P11" s="66" t="str">
        <v/>
      </c>
      <c r="Q11" s="68"/>
      <c r="R11" s="65" t="str">
        <v/>
      </c>
      <c r="S11" s="66" t="str">
        <v/>
      </c>
      <c r="T11" s="66" t="str">
        <v/>
      </c>
      <c r="U11" s="66" t="str">
        <v/>
      </c>
      <c r="V11" s="66" t="str">
        <v/>
      </c>
      <c r="W11" s="66" t="str">
        <v/>
      </c>
      <c r="X11" s="67" t="str">
        <v/>
      </c>
      <c r="Y11" s="13"/>
      <c r="Z11" s="98" t="s">
        <v>12</v>
      </c>
      <c r="AA11" s="98"/>
    </row>
    <row r="12" spans="1:27" s="15" customFormat="1" ht="1.5" customHeight="1" thickTop="1" thickBot="1" x14ac:dyDescent="0.45">
      <c r="A12" s="13"/>
      <c r="B12" s="63"/>
      <c r="H12" s="64"/>
      <c r="I12" s="13"/>
      <c r="P12" s="69"/>
      <c r="Q12" s="13"/>
      <c r="R12" s="63"/>
      <c r="X12" s="64"/>
      <c r="Y12" s="13"/>
      <c r="Z12" s="99" t="s">
        <v>13</v>
      </c>
      <c r="AA12" s="99"/>
    </row>
    <row r="13" spans="1:27" s="15" customFormat="1" ht="13.2" thickBot="1" x14ac:dyDescent="0.45">
      <c r="A13" s="13"/>
      <c r="B13" s="70"/>
      <c r="C13" s="71"/>
      <c r="D13" s="94" t="s">
        <v>14</v>
      </c>
      <c r="E13" s="94"/>
      <c r="F13" s="94"/>
      <c r="G13" s="71"/>
      <c r="H13" s="72"/>
      <c r="I13" s="13"/>
      <c r="J13" s="73"/>
      <c r="K13" s="71"/>
      <c r="L13" s="94" t="s">
        <v>15</v>
      </c>
      <c r="M13" s="94"/>
      <c r="N13" s="94"/>
      <c r="O13" s="71"/>
      <c r="P13" s="74"/>
      <c r="Q13" s="13"/>
      <c r="R13" s="70"/>
      <c r="S13" s="71"/>
      <c r="T13" s="94" t="s">
        <v>16</v>
      </c>
      <c r="U13" s="94"/>
      <c r="V13" s="94"/>
      <c r="W13" s="71"/>
      <c r="X13" s="72"/>
      <c r="Y13" s="13"/>
      <c r="Z13" s="100" t="s">
        <v>17</v>
      </c>
      <c r="AA13" s="100"/>
    </row>
    <row r="14" spans="1:27" s="15" customFormat="1" ht="13.5" thickTop="1" thickBot="1" x14ac:dyDescent="0.45">
      <c r="A14" s="13"/>
      <c r="B14" s="31" t="s">
        <v>4</v>
      </c>
      <c r="C14" s="14" t="s">
        <v>5</v>
      </c>
      <c r="D14" s="14" t="s">
        <v>6</v>
      </c>
      <c r="E14" s="14" t="s">
        <v>7</v>
      </c>
      <c r="F14" s="14" t="s">
        <v>6</v>
      </c>
      <c r="G14" s="14" t="s">
        <v>8</v>
      </c>
      <c r="H14" s="32" t="s">
        <v>4</v>
      </c>
      <c r="I14" s="13"/>
      <c r="J14" s="75" t="s">
        <v>4</v>
      </c>
      <c r="K14" s="14" t="s">
        <v>5</v>
      </c>
      <c r="L14" s="14" t="s">
        <v>6</v>
      </c>
      <c r="M14" s="14" t="s">
        <v>7</v>
      </c>
      <c r="N14" s="14" t="s">
        <v>6</v>
      </c>
      <c r="O14" s="14" t="s">
        <v>8</v>
      </c>
      <c r="P14" s="76" t="s">
        <v>4</v>
      </c>
      <c r="Q14" s="13"/>
      <c r="R14" s="31" t="s">
        <v>4</v>
      </c>
      <c r="S14" s="14" t="s">
        <v>5</v>
      </c>
      <c r="T14" s="14" t="s">
        <v>6</v>
      </c>
      <c r="U14" s="14" t="s">
        <v>7</v>
      </c>
      <c r="V14" s="14" t="s">
        <v>6</v>
      </c>
      <c r="W14" s="14" t="s">
        <v>8</v>
      </c>
      <c r="X14" s="32" t="s">
        <v>4</v>
      </c>
      <c r="Y14" s="13"/>
      <c r="Z14" s="101" t="s">
        <v>18</v>
      </c>
      <c r="AA14" s="101"/>
    </row>
    <row r="15" spans="1:27" s="15" customFormat="1" thickTop="1" x14ac:dyDescent="0.4">
      <c r="A15" s="13"/>
      <c r="B15" s="63" t="str">
        <f t="array" ref="B15:H20">IF(MONTH(DATE(PTOYEAR,2,1))&lt;&gt;MONTH(DATE(PTOYEAR,2,1)-(WEEKDAY(DATE(PTOYEAR,2,1))-1)+{0;1;2;3;4;5}*7+{1,2,3,4,5,6,7}-1),"",DAY(DATE(PTOYEAR,2,1)-(WEEKDAY(DATE(PTOYEAR,2,1))-1)+{0;1;2;3;4;5}*7+{1,2,3,4,5,6,7}-1))</f>
        <v/>
      </c>
      <c r="C15" s="15" t="str">
        <v/>
      </c>
      <c r="D15" s="15" t="str">
        <v/>
      </c>
      <c r="E15" s="15" t="str">
        <v/>
      </c>
      <c r="F15" s="15" t="str">
        <v/>
      </c>
      <c r="G15" s="15" t="str">
        <v/>
      </c>
      <c r="H15" s="64">
        <v>1</v>
      </c>
      <c r="I15" s="13"/>
      <c r="J15" s="77">
        <f t="array" ref="J15:P20">IF(MONTH(DATE(PTOYEAR,6,1))&lt;&gt;MONTH(DATE(PTOYEAR,6,1)-(WEEKDAY(DATE(PTOYEAR,6,1))-1)+{0;1;2;3;4;5}*7+{1,2,3,4,5,6,7}-1),"",DAY(DATE(PTOYEAR,6,1)-(WEEKDAY(DATE(PTOYEAR,6,1))-1)+{0;1;2;3;4;5}*7+{1,2,3,4,5,6,7}-1))</f>
        <v>1</v>
      </c>
      <c r="K15" s="15">
        <v>2</v>
      </c>
      <c r="L15" s="15">
        <v>3</v>
      </c>
      <c r="M15" s="15">
        <v>4</v>
      </c>
      <c r="N15" s="15">
        <v>5</v>
      </c>
      <c r="O15" s="15">
        <v>6</v>
      </c>
      <c r="P15" s="69">
        <v>7</v>
      </c>
      <c r="Q15" s="13"/>
      <c r="R15" s="63" t="str">
        <f t="array" ref="R15:X20">IF(MONTH(DATE(PTOYEAR,10,1))&lt;&gt;MONTH(DATE(PTOYEAR,10,1)-(WEEKDAY(DATE(PTOYEAR,10,1))-1)+{0;1;2;3;4;5}*7+{1,2,3,4,5,6,7}-1),"",DAY(DATE(PTOYEAR,10,1)-(WEEKDAY(DATE(PTOYEAR,10,1))-1)+{0;1;2;3;4;5}*7+{1,2,3,4,5,6,7}-1))</f>
        <v/>
      </c>
      <c r="S15" s="15" t="str">
        <v/>
      </c>
      <c r="T15" s="15" t="str">
        <v/>
      </c>
      <c r="U15" s="15">
        <v>1</v>
      </c>
      <c r="V15" s="15">
        <v>2</v>
      </c>
      <c r="W15" s="15">
        <v>3</v>
      </c>
      <c r="X15" s="64">
        <v>4</v>
      </c>
      <c r="Y15" s="13"/>
      <c r="Z15" s="13"/>
    </row>
    <row r="16" spans="1:27" s="15" customFormat="1" ht="12.3" x14ac:dyDescent="0.4">
      <c r="A16" s="13"/>
      <c r="B16" s="63">
        <v>2</v>
      </c>
      <c r="C16" s="15">
        <v>3</v>
      </c>
      <c r="D16" s="15">
        <v>4</v>
      </c>
      <c r="E16" s="15">
        <v>5</v>
      </c>
      <c r="F16" s="15">
        <v>6</v>
      </c>
      <c r="G16" s="15">
        <v>7</v>
      </c>
      <c r="H16" s="64">
        <v>8</v>
      </c>
      <c r="I16" s="13"/>
      <c r="J16" s="77">
        <v>8</v>
      </c>
      <c r="K16" s="15">
        <v>9</v>
      </c>
      <c r="L16" s="15">
        <v>10</v>
      </c>
      <c r="M16" s="15">
        <v>11</v>
      </c>
      <c r="N16" s="15">
        <v>12</v>
      </c>
      <c r="O16" s="15">
        <v>13</v>
      </c>
      <c r="P16" s="69">
        <v>14</v>
      </c>
      <c r="Q16" s="13"/>
      <c r="R16" s="63">
        <v>5</v>
      </c>
      <c r="S16" s="15">
        <v>6</v>
      </c>
      <c r="T16" s="15">
        <v>7</v>
      </c>
      <c r="U16" s="15">
        <v>8</v>
      </c>
      <c r="V16" s="15">
        <v>9</v>
      </c>
      <c r="W16" s="15">
        <v>10</v>
      </c>
      <c r="X16" s="64">
        <v>11</v>
      </c>
      <c r="Y16" s="13"/>
      <c r="Z16" s="13"/>
    </row>
    <row r="17" spans="1:28" s="15" customFormat="1" ht="12.3" x14ac:dyDescent="0.4">
      <c r="A17" s="13"/>
      <c r="B17" s="63">
        <v>9</v>
      </c>
      <c r="C17" s="15">
        <v>10</v>
      </c>
      <c r="D17" s="15">
        <v>11</v>
      </c>
      <c r="E17" s="15">
        <v>12</v>
      </c>
      <c r="F17" s="15">
        <v>13</v>
      </c>
      <c r="G17" s="15">
        <v>14</v>
      </c>
      <c r="H17" s="64">
        <v>15</v>
      </c>
      <c r="I17" s="13"/>
      <c r="J17" s="77">
        <v>15</v>
      </c>
      <c r="K17" s="15">
        <v>16</v>
      </c>
      <c r="L17" s="15">
        <v>17</v>
      </c>
      <c r="M17" s="15">
        <v>18</v>
      </c>
      <c r="N17" s="15">
        <v>19</v>
      </c>
      <c r="O17" s="15">
        <v>20</v>
      </c>
      <c r="P17" s="69">
        <v>21</v>
      </c>
      <c r="Q17" s="13"/>
      <c r="R17" s="63">
        <v>12</v>
      </c>
      <c r="S17" s="15">
        <v>13</v>
      </c>
      <c r="T17" s="15">
        <v>14</v>
      </c>
      <c r="U17" s="15">
        <v>15</v>
      </c>
      <c r="V17" s="15">
        <v>16</v>
      </c>
      <c r="W17" s="15">
        <v>17</v>
      </c>
      <c r="X17" s="64">
        <v>18</v>
      </c>
      <c r="Y17" s="13"/>
      <c r="Z17" s="13"/>
    </row>
    <row r="18" spans="1:28" s="15" customFormat="1" ht="12.3" x14ac:dyDescent="0.4">
      <c r="A18" s="13"/>
      <c r="B18" s="63">
        <v>16</v>
      </c>
      <c r="C18" s="15">
        <v>17</v>
      </c>
      <c r="D18" s="15">
        <v>18</v>
      </c>
      <c r="E18" s="15">
        <v>19</v>
      </c>
      <c r="F18" s="15">
        <v>20</v>
      </c>
      <c r="G18" s="15">
        <v>21</v>
      </c>
      <c r="H18" s="64">
        <v>22</v>
      </c>
      <c r="I18" s="13"/>
      <c r="J18" s="77">
        <v>22</v>
      </c>
      <c r="K18" s="15">
        <v>23</v>
      </c>
      <c r="L18" s="15">
        <v>24</v>
      </c>
      <c r="M18" s="15">
        <v>25</v>
      </c>
      <c r="N18" s="15">
        <v>26</v>
      </c>
      <c r="O18" s="15">
        <v>27</v>
      </c>
      <c r="P18" s="69">
        <v>28</v>
      </c>
      <c r="Q18" s="13"/>
      <c r="R18" s="63">
        <v>19</v>
      </c>
      <c r="S18" s="15">
        <v>20</v>
      </c>
      <c r="T18" s="15">
        <v>21</v>
      </c>
      <c r="U18" s="15">
        <v>22</v>
      </c>
      <c r="V18" s="15">
        <v>23</v>
      </c>
      <c r="W18" s="15">
        <v>24</v>
      </c>
      <c r="X18" s="64">
        <v>25</v>
      </c>
      <c r="Y18" s="13"/>
      <c r="Z18" s="13"/>
    </row>
    <row r="19" spans="1:28" s="15" customFormat="1" ht="12.3" x14ac:dyDescent="0.4">
      <c r="A19" s="13"/>
      <c r="B19" s="63">
        <v>23</v>
      </c>
      <c r="C19" s="15">
        <v>24</v>
      </c>
      <c r="D19" s="15">
        <v>25</v>
      </c>
      <c r="E19" s="15">
        <v>26</v>
      </c>
      <c r="F19" s="15">
        <v>27</v>
      </c>
      <c r="G19" s="15">
        <v>28</v>
      </c>
      <c r="H19" s="64" t="str">
        <v/>
      </c>
      <c r="I19" s="13"/>
      <c r="J19" s="77">
        <v>29</v>
      </c>
      <c r="K19" s="15">
        <v>30</v>
      </c>
      <c r="L19" s="15" t="str">
        <v/>
      </c>
      <c r="M19" s="15" t="str">
        <v/>
      </c>
      <c r="N19" s="15" t="str">
        <v/>
      </c>
      <c r="O19" s="15" t="str">
        <v/>
      </c>
      <c r="P19" s="69" t="str">
        <v/>
      </c>
      <c r="Q19" s="13"/>
      <c r="R19" s="63">
        <v>26</v>
      </c>
      <c r="S19" s="15">
        <v>27</v>
      </c>
      <c r="T19" s="15">
        <v>28</v>
      </c>
      <c r="U19" s="15">
        <v>29</v>
      </c>
      <c r="V19" s="15">
        <v>30</v>
      </c>
      <c r="W19" s="15">
        <v>31</v>
      </c>
      <c r="X19" s="64" t="str">
        <v/>
      </c>
      <c r="Y19" s="13"/>
      <c r="Z19" s="13"/>
    </row>
    <row r="20" spans="1:28" s="15" customFormat="1" thickBot="1" x14ac:dyDescent="0.45">
      <c r="A20" s="13"/>
      <c r="B20" s="65" t="str">
        <v/>
      </c>
      <c r="C20" s="66" t="str">
        <v/>
      </c>
      <c r="D20" s="66" t="str">
        <v/>
      </c>
      <c r="E20" s="66" t="str">
        <v/>
      </c>
      <c r="F20" s="66" t="str">
        <v/>
      </c>
      <c r="G20" s="66" t="str">
        <v/>
      </c>
      <c r="H20" s="67" t="str">
        <v/>
      </c>
      <c r="I20" s="68"/>
      <c r="J20" s="78" t="str">
        <v/>
      </c>
      <c r="K20" s="66" t="str">
        <v/>
      </c>
      <c r="L20" s="66" t="str">
        <v/>
      </c>
      <c r="M20" s="66" t="str">
        <v/>
      </c>
      <c r="N20" s="66" t="str">
        <v/>
      </c>
      <c r="O20" s="66" t="str">
        <v/>
      </c>
      <c r="P20" s="79" t="str">
        <v/>
      </c>
      <c r="Q20" s="68"/>
      <c r="R20" s="65" t="str">
        <v/>
      </c>
      <c r="S20" s="66" t="str">
        <v/>
      </c>
      <c r="T20" s="66" t="str">
        <v/>
      </c>
      <c r="U20" s="66" t="str">
        <v/>
      </c>
      <c r="V20" s="66" t="str">
        <v/>
      </c>
      <c r="W20" s="66" t="str">
        <v/>
      </c>
      <c r="X20" s="67" t="str">
        <v/>
      </c>
      <c r="Y20" s="13"/>
      <c r="Z20" s="13"/>
    </row>
    <row r="21" spans="1:28" s="15" customFormat="1" ht="1.5" customHeight="1" thickTop="1" thickBot="1" x14ac:dyDescent="0.45">
      <c r="A21" s="13"/>
      <c r="B21" s="63"/>
      <c r="H21" s="64"/>
      <c r="I21" s="13"/>
      <c r="P21" s="69"/>
      <c r="Q21" s="13"/>
      <c r="R21" s="63"/>
      <c r="X21" s="64"/>
      <c r="Y21" s="13"/>
      <c r="Z21" s="13"/>
    </row>
    <row r="22" spans="1:28" s="15" customFormat="1" thickBot="1" x14ac:dyDescent="0.45">
      <c r="A22" s="13"/>
      <c r="B22" s="70"/>
      <c r="C22" s="71"/>
      <c r="D22" s="94" t="s">
        <v>19</v>
      </c>
      <c r="E22" s="94"/>
      <c r="F22" s="94"/>
      <c r="G22" s="71"/>
      <c r="H22" s="72"/>
      <c r="I22" s="13"/>
      <c r="J22" s="73"/>
      <c r="K22" s="71"/>
      <c r="L22" s="94" t="s">
        <v>20</v>
      </c>
      <c r="M22" s="94"/>
      <c r="N22" s="94"/>
      <c r="O22" s="71"/>
      <c r="P22" s="74"/>
      <c r="Q22" s="13"/>
      <c r="R22" s="70"/>
      <c r="S22" s="71"/>
      <c r="T22" s="94" t="s">
        <v>21</v>
      </c>
      <c r="U22" s="94"/>
      <c r="V22" s="94"/>
      <c r="W22" s="71"/>
      <c r="X22" s="72"/>
      <c r="Y22" s="13"/>
      <c r="Z22" s="13"/>
    </row>
    <row r="23" spans="1:28" s="15" customFormat="1" ht="12.9" thickTop="1" thickBot="1" x14ac:dyDescent="0.45">
      <c r="A23" s="13"/>
      <c r="B23" s="31" t="s">
        <v>4</v>
      </c>
      <c r="C23" s="14" t="s">
        <v>5</v>
      </c>
      <c r="D23" s="14" t="s">
        <v>6</v>
      </c>
      <c r="E23" s="14" t="s">
        <v>7</v>
      </c>
      <c r="F23" s="14" t="s">
        <v>6</v>
      </c>
      <c r="G23" s="14" t="s">
        <v>8</v>
      </c>
      <c r="H23" s="32" t="s">
        <v>4</v>
      </c>
      <c r="I23" s="13"/>
      <c r="J23" s="75" t="s">
        <v>4</v>
      </c>
      <c r="K23" s="14" t="s">
        <v>5</v>
      </c>
      <c r="L23" s="14" t="s">
        <v>6</v>
      </c>
      <c r="M23" s="14" t="s">
        <v>7</v>
      </c>
      <c r="N23" s="14" t="s">
        <v>6</v>
      </c>
      <c r="O23" s="14" t="s">
        <v>8</v>
      </c>
      <c r="P23" s="76" t="s">
        <v>4</v>
      </c>
      <c r="Q23" s="13"/>
      <c r="R23" s="31" t="s">
        <v>4</v>
      </c>
      <c r="S23" s="14" t="s">
        <v>5</v>
      </c>
      <c r="T23" s="14" t="s">
        <v>6</v>
      </c>
      <c r="U23" s="14" t="s">
        <v>7</v>
      </c>
      <c r="V23" s="14" t="s">
        <v>6</v>
      </c>
      <c r="W23" s="14" t="s">
        <v>8</v>
      </c>
      <c r="X23" s="32" t="s">
        <v>4</v>
      </c>
      <c r="Y23" s="13"/>
      <c r="Z23" s="13"/>
    </row>
    <row r="24" spans="1:28" s="15" customFormat="1" thickTop="1" x14ac:dyDescent="0.4">
      <c r="A24" s="13"/>
      <c r="B24" s="63" t="str">
        <f t="array" ref="B24:H29">IF(MONTH(DATE(PTOYEAR,3,1))&lt;&gt;MONTH(DATE(PTOYEAR,3,1)-(WEEKDAY(DATE(PTOYEAR,3,1))-1)+{0;1;2;3;4;5}*7+{1,2,3,4,5,6,7}-1),"",DAY(DATE(PTOYEAR,3,1)-(WEEKDAY(DATE(PTOYEAR,3,1))-1)+{0;1;2;3;4;5}*7+{1,2,3,4,5,6,7}-1))</f>
        <v/>
      </c>
      <c r="C24" s="15" t="str">
        <v/>
      </c>
      <c r="D24" s="15" t="str">
        <v/>
      </c>
      <c r="E24" s="15" t="str">
        <v/>
      </c>
      <c r="F24" s="15" t="str">
        <v/>
      </c>
      <c r="G24" s="15" t="str">
        <v/>
      </c>
      <c r="H24" s="64">
        <v>1</v>
      </c>
      <c r="I24" s="13"/>
      <c r="J24" s="77" t="str">
        <f t="array" ref="J24:P29">IF(MONTH(DATE(PTOYEAR,7,1))&lt;&gt;MONTH(DATE(PTOYEAR,7,1)-(WEEKDAY(DATE(PTOYEAR,7,1))-1)+{0;1;2;3;4;5}*7+{1,2,3,4,5,6,7}-1),"",DAY(DATE(PTOYEAR,7,1)-(WEEKDAY(DATE(PTOYEAR,7,1))-1)+{0;1;2;3;4;5}*7+{1,2,3,4,5,6,7}-1))</f>
        <v/>
      </c>
      <c r="K24" s="15" t="str">
        <v/>
      </c>
      <c r="L24" s="15">
        <v>1</v>
      </c>
      <c r="M24" s="15">
        <v>2</v>
      </c>
      <c r="N24" s="82">
        <v>3</v>
      </c>
      <c r="O24" s="82">
        <v>4</v>
      </c>
      <c r="P24" s="69">
        <v>5</v>
      </c>
      <c r="Q24" s="13"/>
      <c r="R24" s="63" t="str">
        <f t="array" ref="R24:X29">IF(MONTH(DATE(PTOYEAR,11,1))&lt;&gt;MONTH(DATE(PTOYEAR,11,1)-(WEEKDAY(DATE(PTOYEAR,11,1))-1)+{0;1;2;3;4;5}*7+{1,2,3,4,5,6,7}-1),"",DAY(DATE(PTOYEAR,11,1)-(WEEKDAY(DATE(PTOYEAR,11,1))-1)+{0;1;2;3;4;5}*7+{1,2,3,4,5,6,7}-1))</f>
        <v/>
      </c>
      <c r="S24" s="15" t="str">
        <v/>
      </c>
      <c r="T24" s="15" t="str">
        <v/>
      </c>
      <c r="U24" s="15" t="str">
        <v/>
      </c>
      <c r="V24" s="15" t="str">
        <v/>
      </c>
      <c r="W24" s="15" t="str">
        <v/>
      </c>
      <c r="X24" s="64">
        <v>1</v>
      </c>
      <c r="Y24" s="13"/>
      <c r="Z24" s="13"/>
    </row>
    <row r="25" spans="1:28" s="15" customFormat="1" ht="12.3" x14ac:dyDescent="0.4">
      <c r="A25" s="13"/>
      <c r="B25" s="63">
        <v>2</v>
      </c>
      <c r="C25" s="15">
        <v>3</v>
      </c>
      <c r="D25" s="15">
        <v>4</v>
      </c>
      <c r="E25" s="15">
        <v>5</v>
      </c>
      <c r="F25" s="15">
        <v>6</v>
      </c>
      <c r="G25" s="15">
        <v>7</v>
      </c>
      <c r="H25" s="64">
        <v>8</v>
      </c>
      <c r="I25" s="13"/>
      <c r="J25" s="77">
        <v>6</v>
      </c>
      <c r="K25" s="15">
        <v>7</v>
      </c>
      <c r="L25" s="15">
        <v>8</v>
      </c>
      <c r="M25" s="15">
        <v>9</v>
      </c>
      <c r="N25" s="15">
        <v>10</v>
      </c>
      <c r="O25" s="15">
        <v>11</v>
      </c>
      <c r="P25" s="69">
        <v>12</v>
      </c>
      <c r="Q25" s="13"/>
      <c r="R25" s="63">
        <v>2</v>
      </c>
      <c r="S25" s="15">
        <v>3</v>
      </c>
      <c r="T25" s="15">
        <v>4</v>
      </c>
      <c r="U25" s="15">
        <v>5</v>
      </c>
      <c r="V25" s="15">
        <v>6</v>
      </c>
      <c r="W25" s="15">
        <v>7</v>
      </c>
      <c r="X25" s="64">
        <v>8</v>
      </c>
      <c r="Y25" s="13"/>
      <c r="Z25" s="13"/>
    </row>
    <row r="26" spans="1:28" s="15" customFormat="1" ht="12.3" x14ac:dyDescent="0.4">
      <c r="A26" s="13"/>
      <c r="B26" s="63">
        <v>9</v>
      </c>
      <c r="C26" s="15">
        <v>10</v>
      </c>
      <c r="D26" s="15">
        <v>11</v>
      </c>
      <c r="E26" s="15">
        <v>12</v>
      </c>
      <c r="F26" s="15">
        <v>13</v>
      </c>
      <c r="G26" s="15">
        <v>14</v>
      </c>
      <c r="H26" s="64">
        <v>15</v>
      </c>
      <c r="I26" s="13"/>
      <c r="J26" s="77">
        <v>13</v>
      </c>
      <c r="K26" s="15">
        <v>14</v>
      </c>
      <c r="L26" s="15">
        <v>15</v>
      </c>
      <c r="M26" s="15">
        <v>16</v>
      </c>
      <c r="N26" s="15">
        <v>17</v>
      </c>
      <c r="O26" s="15">
        <v>18</v>
      </c>
      <c r="P26" s="69">
        <v>19</v>
      </c>
      <c r="Q26" s="13"/>
      <c r="R26" s="63">
        <v>9</v>
      </c>
      <c r="S26" s="15">
        <v>10</v>
      </c>
      <c r="T26" s="15">
        <v>11</v>
      </c>
      <c r="U26" s="15">
        <v>12</v>
      </c>
      <c r="V26" s="15">
        <v>13</v>
      </c>
      <c r="W26" s="15">
        <v>14</v>
      </c>
      <c r="X26" s="64">
        <v>15</v>
      </c>
      <c r="Y26" s="13"/>
      <c r="Z26" s="13"/>
    </row>
    <row r="27" spans="1:28" s="15" customFormat="1" ht="12.3" x14ac:dyDescent="0.4">
      <c r="A27" s="13"/>
      <c r="B27" s="63">
        <v>16</v>
      </c>
      <c r="C27" s="15">
        <v>17</v>
      </c>
      <c r="D27" s="15">
        <v>18</v>
      </c>
      <c r="E27" s="15">
        <v>19</v>
      </c>
      <c r="F27" s="15">
        <v>20</v>
      </c>
      <c r="G27" s="15">
        <v>21</v>
      </c>
      <c r="H27" s="64">
        <v>22</v>
      </c>
      <c r="I27" s="13"/>
      <c r="J27" s="77">
        <v>20</v>
      </c>
      <c r="K27" s="82">
        <v>21</v>
      </c>
      <c r="L27" s="82">
        <v>22</v>
      </c>
      <c r="M27" s="82">
        <v>23</v>
      </c>
      <c r="N27" s="82">
        <v>24</v>
      </c>
      <c r="O27" s="82">
        <v>25</v>
      </c>
      <c r="P27" s="69">
        <v>26</v>
      </c>
      <c r="Q27" s="13"/>
      <c r="R27" s="63">
        <v>16</v>
      </c>
      <c r="S27" s="15">
        <v>17</v>
      </c>
      <c r="T27" s="15">
        <v>18</v>
      </c>
      <c r="U27" s="15">
        <v>19</v>
      </c>
      <c r="V27" s="15">
        <v>20</v>
      </c>
      <c r="W27" s="82">
        <v>21</v>
      </c>
      <c r="X27" s="64">
        <v>22</v>
      </c>
      <c r="Y27" s="13"/>
      <c r="Z27" s="13"/>
    </row>
    <row r="28" spans="1:28" s="15" customFormat="1" ht="12.3" x14ac:dyDescent="0.4">
      <c r="A28" s="13"/>
      <c r="B28" s="63">
        <v>23</v>
      </c>
      <c r="C28" s="15">
        <v>24</v>
      </c>
      <c r="D28" s="15">
        <v>25</v>
      </c>
      <c r="E28" s="15">
        <v>26</v>
      </c>
      <c r="F28" s="15">
        <v>27</v>
      </c>
      <c r="G28" s="82">
        <v>28</v>
      </c>
      <c r="H28" s="64">
        <v>29</v>
      </c>
      <c r="I28" s="13"/>
      <c r="J28" s="77">
        <v>27</v>
      </c>
      <c r="K28" s="15">
        <v>28</v>
      </c>
      <c r="L28" s="15">
        <v>29</v>
      </c>
      <c r="M28" s="15">
        <v>30</v>
      </c>
      <c r="N28" s="15">
        <v>31</v>
      </c>
      <c r="O28" s="15" t="str">
        <v/>
      </c>
      <c r="P28" s="69" t="str">
        <v/>
      </c>
      <c r="Q28" s="13"/>
      <c r="R28" s="63">
        <v>23</v>
      </c>
      <c r="S28" s="15">
        <v>24</v>
      </c>
      <c r="T28" s="15">
        <v>25</v>
      </c>
      <c r="U28" s="86">
        <v>26</v>
      </c>
      <c r="V28" s="86">
        <v>27</v>
      </c>
      <c r="W28" s="86">
        <v>28</v>
      </c>
      <c r="X28" s="64">
        <v>29</v>
      </c>
      <c r="Y28" s="13"/>
      <c r="Z28" s="13"/>
    </row>
    <row r="29" spans="1:28" s="15" customFormat="1" thickBot="1" x14ac:dyDescent="0.45">
      <c r="A29" s="13"/>
      <c r="B29" s="65">
        <v>30</v>
      </c>
      <c r="C29" s="83">
        <v>31</v>
      </c>
      <c r="D29" s="66" t="str">
        <v/>
      </c>
      <c r="E29" s="66" t="str">
        <v/>
      </c>
      <c r="F29" s="66" t="str">
        <v/>
      </c>
      <c r="G29" s="66" t="str">
        <v/>
      </c>
      <c r="H29" s="67" t="str">
        <v/>
      </c>
      <c r="I29" s="68"/>
      <c r="J29" s="78" t="str">
        <v/>
      </c>
      <c r="K29" s="66" t="str">
        <v/>
      </c>
      <c r="L29" s="66" t="str">
        <v/>
      </c>
      <c r="M29" s="66" t="str">
        <v/>
      </c>
      <c r="N29" s="66" t="str">
        <v/>
      </c>
      <c r="O29" s="66" t="str">
        <v/>
      </c>
      <c r="P29" s="79" t="str">
        <v/>
      </c>
      <c r="Q29" s="68"/>
      <c r="R29" s="65">
        <v>30</v>
      </c>
      <c r="S29" s="66" t="str">
        <v/>
      </c>
      <c r="T29" s="66" t="str">
        <v/>
      </c>
      <c r="U29" s="66" t="str">
        <v/>
      </c>
      <c r="V29" s="66" t="str">
        <v/>
      </c>
      <c r="W29" s="66" t="str">
        <v/>
      </c>
      <c r="X29" s="67" t="str">
        <v/>
      </c>
      <c r="Y29" s="13"/>
      <c r="Z29" s="13"/>
    </row>
    <row r="30" spans="1:28" s="15" customFormat="1" ht="1.5" customHeight="1" thickTop="1" thickBot="1" x14ac:dyDescent="0.45">
      <c r="A30" s="13"/>
      <c r="B30" s="63"/>
      <c r="H30" s="64"/>
      <c r="I30" s="13"/>
      <c r="P30" s="69"/>
      <c r="Q30" s="13"/>
      <c r="R30" s="63"/>
      <c r="X30" s="64"/>
      <c r="Y30" s="13"/>
      <c r="Z30" s="13"/>
    </row>
    <row r="31" spans="1:28" s="15" customFormat="1" thickBot="1" x14ac:dyDescent="0.45">
      <c r="A31" s="13"/>
      <c r="B31" s="70"/>
      <c r="C31" s="71"/>
      <c r="D31" s="94" t="s">
        <v>22</v>
      </c>
      <c r="E31" s="94"/>
      <c r="F31" s="94"/>
      <c r="G31" s="71"/>
      <c r="H31" s="72"/>
      <c r="I31" s="13"/>
      <c r="J31" s="73"/>
      <c r="K31" s="71"/>
      <c r="L31" s="94" t="s">
        <v>23</v>
      </c>
      <c r="M31" s="94"/>
      <c r="N31" s="94"/>
      <c r="O31" s="71"/>
      <c r="P31" s="74"/>
      <c r="Q31" s="13"/>
      <c r="R31" s="70"/>
      <c r="S31" s="71"/>
      <c r="T31" s="94" t="s">
        <v>24</v>
      </c>
      <c r="U31" s="94"/>
      <c r="V31" s="94"/>
      <c r="W31" s="71"/>
      <c r="X31" s="72"/>
      <c r="Y31" s="13"/>
      <c r="Z31" s="13"/>
    </row>
    <row r="32" spans="1:28" s="15" customFormat="1" ht="12.9" thickTop="1" thickBot="1" x14ac:dyDescent="0.45">
      <c r="A32" s="13"/>
      <c r="B32" s="31" t="s">
        <v>4</v>
      </c>
      <c r="C32" s="14" t="s">
        <v>5</v>
      </c>
      <c r="D32" s="14" t="s">
        <v>6</v>
      </c>
      <c r="E32" s="14" t="s">
        <v>7</v>
      </c>
      <c r="F32" s="14" t="s">
        <v>6</v>
      </c>
      <c r="G32" s="14" t="s">
        <v>8</v>
      </c>
      <c r="H32" s="32" t="s">
        <v>4</v>
      </c>
      <c r="I32" s="13"/>
      <c r="J32" s="75" t="s">
        <v>4</v>
      </c>
      <c r="K32" s="14" t="s">
        <v>5</v>
      </c>
      <c r="L32" s="14" t="s">
        <v>6</v>
      </c>
      <c r="M32" s="14" t="s">
        <v>7</v>
      </c>
      <c r="N32" s="14" t="s">
        <v>6</v>
      </c>
      <c r="O32" s="14" t="s">
        <v>8</v>
      </c>
      <c r="P32" s="76" t="s">
        <v>4</v>
      </c>
      <c r="Q32" s="13"/>
      <c r="R32" s="31" t="s">
        <v>4</v>
      </c>
      <c r="S32" s="14" t="s">
        <v>5</v>
      </c>
      <c r="T32" s="14" t="s">
        <v>6</v>
      </c>
      <c r="U32" s="14" t="s">
        <v>7</v>
      </c>
      <c r="V32" s="14" t="s">
        <v>6</v>
      </c>
      <c r="W32" s="14" t="s">
        <v>8</v>
      </c>
      <c r="X32" s="32" t="s">
        <v>4</v>
      </c>
      <c r="Y32" s="121" t="s">
        <v>46</v>
      </c>
      <c r="Z32" s="121"/>
      <c r="AA32" s="121"/>
      <c r="AB32" s="56">
        <v>24</v>
      </c>
    </row>
    <row r="33" spans="1:28" s="15" customFormat="1" ht="12.9" thickTop="1" thickBot="1" x14ac:dyDescent="0.45">
      <c r="A33" s="13"/>
      <c r="B33" s="63" t="str">
        <f t="array" ref="B33:H38">IF(MONTH(DATE(PTOYEAR,4,1))&lt;&gt;MONTH(DATE(PTOYEAR,4,1)-(WEEKDAY(DATE(PTOYEAR,4,1))-1)+{0;1;2;3;4;5}*7+{1,2,3,4,5,6,7}-1),"",DAY(DATE(PTOYEAR,4,1)-(WEEKDAY(DATE(PTOYEAR,4,1))-1)+{0;1;2;3;4;5}*7+{1,2,3,4,5,6,7}-1))</f>
        <v/>
      </c>
      <c r="C33" s="15" t="str">
        <v/>
      </c>
      <c r="D33" s="82">
        <v>1</v>
      </c>
      <c r="E33" s="15">
        <v>2</v>
      </c>
      <c r="F33" s="15">
        <v>3</v>
      </c>
      <c r="G33" s="15">
        <v>4</v>
      </c>
      <c r="H33" s="64">
        <v>5</v>
      </c>
      <c r="I33" s="13"/>
      <c r="J33" s="77" t="str">
        <f t="array" ref="J33:P38">IF(MONTH(DATE(PTOYEAR,8,1))&lt;&gt;MONTH(DATE(PTOYEAR,8,1)-(WEEKDAY(DATE(PTOYEAR,8,1))-1)+{0;1;2;3;4;5}*7+{1,2,3,4,5,6,7}-1),"",DAY(DATE(PTOYEAR,8,1)-(WEEKDAY(DATE(PTOYEAR,8,1))-1)+{0;1;2;3;4;5}*7+{1,2,3,4,5,6,7}-1))</f>
        <v/>
      </c>
      <c r="K33" s="15" t="str">
        <v/>
      </c>
      <c r="L33" s="15" t="str">
        <v/>
      </c>
      <c r="M33" s="15" t="str">
        <v/>
      </c>
      <c r="N33" s="15" t="str">
        <v/>
      </c>
      <c r="O33" s="15">
        <v>1</v>
      </c>
      <c r="P33" s="69">
        <v>2</v>
      </c>
      <c r="Q33" s="13"/>
      <c r="R33" s="63" t="str">
        <f t="array" ref="R33:X38">IF(MONTH(DATE(PTOYEAR,12,1))&lt;&gt;MONTH(DATE(PTOYEAR,12,1)-(WEEKDAY(DATE(PTOYEAR,12,1))-1)+{0;1;2;3;4;5}*7+{1,2,3,4,5,6,7}-1),"",DAY(DATE(PTOYEAR,12,1)-(WEEKDAY(DATE(PTOYEAR,12,1))-1)+{0;1;2;3;4;5}*7+{1,2,3,4,5,6,7}-1))</f>
        <v/>
      </c>
      <c r="S33" s="15">
        <v>1</v>
      </c>
      <c r="T33" s="15">
        <v>2</v>
      </c>
      <c r="U33" s="15">
        <v>3</v>
      </c>
      <c r="V33" s="15">
        <v>4</v>
      </c>
      <c r="W33" s="80">
        <v>5</v>
      </c>
      <c r="X33" s="64">
        <v>6</v>
      </c>
      <c r="Y33" s="121" t="s">
        <v>47</v>
      </c>
      <c r="Z33" s="121"/>
      <c r="AA33" s="121"/>
      <c r="AB33" s="56"/>
    </row>
    <row r="34" spans="1:28" s="15" customFormat="1" ht="12.9" thickTop="1" thickBot="1" x14ac:dyDescent="0.45">
      <c r="A34" s="13"/>
      <c r="B34" s="63">
        <v>6</v>
      </c>
      <c r="C34" s="15">
        <v>7</v>
      </c>
      <c r="D34" s="15">
        <v>8</v>
      </c>
      <c r="E34" s="15">
        <v>9</v>
      </c>
      <c r="F34" s="15">
        <v>10</v>
      </c>
      <c r="G34" s="82">
        <v>11</v>
      </c>
      <c r="H34" s="64">
        <v>12</v>
      </c>
      <c r="I34" s="13"/>
      <c r="J34" s="77">
        <v>3</v>
      </c>
      <c r="K34" s="15">
        <v>4</v>
      </c>
      <c r="L34" s="15">
        <v>5</v>
      </c>
      <c r="M34" s="15">
        <v>6</v>
      </c>
      <c r="N34" s="15">
        <v>7</v>
      </c>
      <c r="O34" s="15">
        <v>8</v>
      </c>
      <c r="P34" s="69">
        <v>9</v>
      </c>
      <c r="Q34" s="13"/>
      <c r="R34" s="63">
        <v>7</v>
      </c>
      <c r="S34" s="15">
        <v>8</v>
      </c>
      <c r="T34" s="15">
        <v>9</v>
      </c>
      <c r="U34" s="15">
        <v>10</v>
      </c>
      <c r="V34" s="15">
        <v>11</v>
      </c>
      <c r="W34" s="80">
        <v>12</v>
      </c>
      <c r="X34" s="64">
        <v>13</v>
      </c>
      <c r="Y34" s="121" t="s">
        <v>48</v>
      </c>
      <c r="Z34" s="121"/>
      <c r="AA34" s="121"/>
      <c r="AB34" s="56">
        <f>AB32-AB33</f>
        <v>24</v>
      </c>
    </row>
    <row r="35" spans="1:28" s="15" customFormat="1" thickTop="1" x14ac:dyDescent="0.4">
      <c r="A35" s="13"/>
      <c r="B35" s="63">
        <v>13</v>
      </c>
      <c r="C35" s="15">
        <v>14</v>
      </c>
      <c r="D35" s="15">
        <v>15</v>
      </c>
      <c r="E35" s="15">
        <v>16</v>
      </c>
      <c r="F35" s="15">
        <v>17</v>
      </c>
      <c r="G35" s="82">
        <v>18</v>
      </c>
      <c r="H35" s="64">
        <v>19</v>
      </c>
      <c r="I35" s="13"/>
      <c r="J35" s="77">
        <v>10</v>
      </c>
      <c r="K35" s="15">
        <v>11</v>
      </c>
      <c r="L35" s="15">
        <v>12</v>
      </c>
      <c r="M35" s="15">
        <v>13</v>
      </c>
      <c r="N35" s="15">
        <v>14</v>
      </c>
      <c r="O35" s="15">
        <v>15</v>
      </c>
      <c r="P35" s="69">
        <v>16</v>
      </c>
      <c r="Q35" s="13"/>
      <c r="R35" s="63">
        <v>14</v>
      </c>
      <c r="S35" s="15">
        <v>15</v>
      </c>
      <c r="T35" s="15">
        <v>16</v>
      </c>
      <c r="U35" s="15">
        <v>17</v>
      </c>
      <c r="V35" s="15">
        <v>18</v>
      </c>
      <c r="W35" s="80">
        <v>19</v>
      </c>
      <c r="X35" s="64">
        <v>20</v>
      </c>
      <c r="Y35" s="13"/>
      <c r="Z35" s="13"/>
    </row>
    <row r="36" spans="1:28" s="15" customFormat="1" ht="12.3" x14ac:dyDescent="0.4">
      <c r="A36" s="13"/>
      <c r="B36" s="63">
        <v>20</v>
      </c>
      <c r="C36" s="15">
        <v>21</v>
      </c>
      <c r="D36" s="15">
        <v>22</v>
      </c>
      <c r="E36" s="15">
        <v>23</v>
      </c>
      <c r="F36" s="15">
        <v>24</v>
      </c>
      <c r="G36" s="82">
        <v>25</v>
      </c>
      <c r="H36" s="64">
        <v>26</v>
      </c>
      <c r="I36" s="13"/>
      <c r="J36" s="77">
        <v>17</v>
      </c>
      <c r="K36" s="15">
        <v>18</v>
      </c>
      <c r="L36" s="15">
        <v>19</v>
      </c>
      <c r="M36" s="15">
        <v>20</v>
      </c>
      <c r="N36" s="15">
        <v>21</v>
      </c>
      <c r="O36" s="15">
        <v>22</v>
      </c>
      <c r="P36" s="69">
        <v>23</v>
      </c>
      <c r="Q36" s="13"/>
      <c r="R36" s="63">
        <v>21</v>
      </c>
      <c r="S36" s="15">
        <v>22</v>
      </c>
      <c r="T36" s="15">
        <v>23</v>
      </c>
      <c r="U36" s="15">
        <v>24</v>
      </c>
      <c r="V36" s="82">
        <v>25</v>
      </c>
      <c r="W36" s="85">
        <v>26</v>
      </c>
      <c r="X36" s="64">
        <v>27</v>
      </c>
      <c r="Y36" s="13"/>
      <c r="Z36" s="13"/>
    </row>
    <row r="37" spans="1:28" s="15" customFormat="1" ht="12.3" x14ac:dyDescent="0.4">
      <c r="A37" s="13"/>
      <c r="B37" s="63">
        <v>27</v>
      </c>
      <c r="C37" s="15">
        <v>28</v>
      </c>
      <c r="D37" s="15">
        <v>29</v>
      </c>
      <c r="E37" s="15">
        <v>30</v>
      </c>
      <c r="F37" s="15" t="str">
        <v/>
      </c>
      <c r="G37" s="15" t="str">
        <v/>
      </c>
      <c r="H37" s="64" t="str">
        <v/>
      </c>
      <c r="I37" s="13"/>
      <c r="J37" s="77">
        <v>24</v>
      </c>
      <c r="K37" s="15">
        <v>25</v>
      </c>
      <c r="L37" s="15">
        <v>26</v>
      </c>
      <c r="M37" s="15">
        <v>27</v>
      </c>
      <c r="N37" s="15">
        <v>28</v>
      </c>
      <c r="O37" s="15">
        <v>29</v>
      </c>
      <c r="P37" s="69">
        <v>30</v>
      </c>
      <c r="Q37" s="13"/>
      <c r="R37" s="63">
        <v>28</v>
      </c>
      <c r="S37" s="15">
        <v>29</v>
      </c>
      <c r="T37" s="15">
        <v>30</v>
      </c>
      <c r="U37" s="15">
        <v>31</v>
      </c>
      <c r="V37" s="15" t="str">
        <v/>
      </c>
      <c r="W37" s="15" t="str">
        <v/>
      </c>
      <c r="X37" s="64" t="str">
        <v/>
      </c>
      <c r="Y37" s="13"/>
      <c r="Z37" s="13"/>
    </row>
    <row r="38" spans="1:28" s="15" customFormat="1" thickBot="1" x14ac:dyDescent="0.45">
      <c r="A38" s="13"/>
      <c r="B38" s="65" t="str">
        <v/>
      </c>
      <c r="C38" s="66" t="str">
        <v/>
      </c>
      <c r="D38" s="66" t="str">
        <v/>
      </c>
      <c r="E38" s="66" t="str">
        <v/>
      </c>
      <c r="F38" s="66" t="str">
        <v/>
      </c>
      <c r="G38" s="66" t="str">
        <v/>
      </c>
      <c r="H38" s="67" t="str">
        <v/>
      </c>
      <c r="I38" s="68"/>
      <c r="J38" s="78">
        <v>31</v>
      </c>
      <c r="K38" s="66" t="str">
        <v/>
      </c>
      <c r="L38" s="66" t="str">
        <v/>
      </c>
      <c r="M38" s="66" t="str">
        <v/>
      </c>
      <c r="N38" s="66" t="str">
        <v/>
      </c>
      <c r="O38" s="66" t="str">
        <v/>
      </c>
      <c r="P38" s="66" t="str">
        <v/>
      </c>
      <c r="Q38" s="68"/>
      <c r="R38" s="65" t="str">
        <v/>
      </c>
      <c r="S38" s="66" t="str">
        <v/>
      </c>
      <c r="T38" s="66" t="str">
        <v/>
      </c>
      <c r="U38" s="66" t="str">
        <v/>
      </c>
      <c r="V38" s="66" t="str">
        <v/>
      </c>
      <c r="W38" s="66" t="str">
        <v/>
      </c>
      <c r="X38" s="67" t="str">
        <v/>
      </c>
      <c r="Y38" s="13"/>
      <c r="Z38" s="13"/>
    </row>
    <row r="39" spans="1:28" s="15" customFormat="1" ht="12.9" thickTop="1" thickBot="1" x14ac:dyDescent="0.45">
      <c r="A39" s="13"/>
      <c r="B39" s="102" t="s">
        <v>25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4"/>
      <c r="Y39" s="13"/>
      <c r="Z39" s="16"/>
    </row>
    <row r="40" spans="1:28" s="17" customFormat="1" ht="12.75" customHeight="1" thickTop="1" x14ac:dyDescent="0.4">
      <c r="A40" s="16"/>
      <c r="B40" s="105"/>
      <c r="C40" s="106"/>
      <c r="D40" s="107" t="s">
        <v>26</v>
      </c>
      <c r="E40" s="107"/>
      <c r="F40" s="107" t="s">
        <v>27</v>
      </c>
      <c r="G40" s="107"/>
      <c r="H40" s="45"/>
      <c r="I40" s="45"/>
      <c r="J40" s="45" t="s">
        <v>28</v>
      </c>
      <c r="K40" s="45"/>
      <c r="L40" s="107" t="s">
        <v>29</v>
      </c>
      <c r="M40" s="107"/>
      <c r="N40" s="45"/>
      <c r="O40" s="107" t="s">
        <v>30</v>
      </c>
      <c r="P40" s="107"/>
      <c r="Q40" s="45"/>
      <c r="R40" s="45"/>
      <c r="S40" s="108" t="s">
        <v>31</v>
      </c>
      <c r="T40" s="108"/>
      <c r="U40" s="45"/>
      <c r="V40" s="107" t="s">
        <v>32</v>
      </c>
      <c r="W40" s="107"/>
      <c r="X40" s="46" t="s">
        <v>33</v>
      </c>
      <c r="Y40" s="16"/>
      <c r="Z40" s="16"/>
    </row>
    <row r="41" spans="1:28" s="17" customFormat="1" ht="12.75" customHeight="1" x14ac:dyDescent="0.4">
      <c r="A41" s="16"/>
      <c r="B41" s="33"/>
      <c r="C41" s="34"/>
      <c r="D41" s="109" t="s">
        <v>34</v>
      </c>
      <c r="E41" s="109"/>
      <c r="F41" s="109" t="s">
        <v>35</v>
      </c>
      <c r="G41" s="109"/>
      <c r="H41" s="35"/>
      <c r="I41" s="35"/>
      <c r="J41" s="35" t="s">
        <v>36</v>
      </c>
      <c r="K41" s="35"/>
      <c r="L41" s="109" t="s">
        <v>37</v>
      </c>
      <c r="M41" s="109"/>
      <c r="N41" s="35"/>
      <c r="O41" s="109" t="s">
        <v>31</v>
      </c>
      <c r="P41" s="109"/>
      <c r="Q41" s="35"/>
      <c r="R41" s="35"/>
      <c r="S41" s="110" t="s">
        <v>38</v>
      </c>
      <c r="T41" s="110"/>
      <c r="U41" s="35"/>
      <c r="V41" s="109" t="s">
        <v>39</v>
      </c>
      <c r="W41" s="109"/>
      <c r="X41" s="36" t="s">
        <v>40</v>
      </c>
      <c r="Y41" s="16" t="s">
        <v>41</v>
      </c>
      <c r="Z41" s="16"/>
    </row>
    <row r="42" spans="1:28" s="4" customFormat="1" ht="12.3" x14ac:dyDescent="0.4">
      <c r="A42" s="5"/>
      <c r="B42" s="52" t="s">
        <v>1</v>
      </c>
      <c r="C42" s="53"/>
      <c r="D42" s="111">
        <f>NETWORKDAYS(B42&amp;" 1, "&amp;PTOYEAR,EOMONTH(DATE(PTOYEAR,MONTH(B42&amp;" 1, "&amp;PTOYEAR),1),0))</f>
        <v>23</v>
      </c>
      <c r="E42" s="112"/>
      <c r="F42" s="113">
        <v>0.68</v>
      </c>
      <c r="G42" s="113"/>
      <c r="H42" s="38" t="s">
        <v>42</v>
      </c>
      <c r="I42" s="37"/>
      <c r="J42" s="39">
        <f t="shared" ref="J42:J53" si="0">D42*F42</f>
        <v>15.64</v>
      </c>
      <c r="K42" s="38" t="s">
        <v>43</v>
      </c>
      <c r="L42" s="114"/>
      <c r="M42" s="114"/>
      <c r="N42" s="38" t="s">
        <v>42</v>
      </c>
      <c r="O42" s="115">
        <f t="shared" ref="O42:O53" si="1">J42+(IF(L42="", 0, L42))</f>
        <v>15.64</v>
      </c>
      <c r="P42" s="115"/>
      <c r="Q42" s="38"/>
      <c r="R42" s="38" t="s">
        <v>44</v>
      </c>
      <c r="S42" s="116">
        <v>0</v>
      </c>
      <c r="T42" s="116"/>
      <c r="U42" s="38" t="s">
        <v>42</v>
      </c>
      <c r="V42" s="117">
        <v>95.64</v>
      </c>
      <c r="W42" s="117"/>
      <c r="X42" s="40" t="s">
        <v>51</v>
      </c>
      <c r="Y42" s="16" t="s">
        <v>52</v>
      </c>
      <c r="Z42" s="18"/>
    </row>
    <row r="43" spans="1:28" s="4" customFormat="1" ht="12.3" x14ac:dyDescent="0.4">
      <c r="A43" s="5"/>
      <c r="B43" s="52" t="s">
        <v>14</v>
      </c>
      <c r="C43" s="53"/>
      <c r="D43" s="111">
        <f t="shared" ref="D43:D53" si="2">NETWORKDAYS(B43&amp;" 1, "&amp;PTOYEAR,EOMONTH(DATE(PTOYEAR,MONTH(B43&amp;" 1, "&amp;PTOYEAR),1),0))</f>
        <v>20</v>
      </c>
      <c r="E43" s="112"/>
      <c r="F43" s="113">
        <v>0.68</v>
      </c>
      <c r="G43" s="113"/>
      <c r="H43" s="38" t="s">
        <v>42</v>
      </c>
      <c r="I43" s="37"/>
      <c r="J43" s="39">
        <f t="shared" si="0"/>
        <v>13.600000000000001</v>
      </c>
      <c r="K43" s="38" t="s">
        <v>43</v>
      </c>
      <c r="L43" s="117">
        <f t="shared" ref="L43:L53" si="3">V42</f>
        <v>95.64</v>
      </c>
      <c r="M43" s="117"/>
      <c r="N43" s="38" t="s">
        <v>42</v>
      </c>
      <c r="O43" s="115">
        <f t="shared" si="1"/>
        <v>109.24000000000001</v>
      </c>
      <c r="P43" s="115"/>
      <c r="Q43" s="38"/>
      <c r="R43" s="38" t="s">
        <v>44</v>
      </c>
      <c r="S43" s="116"/>
      <c r="T43" s="116"/>
      <c r="U43" s="38" t="s">
        <v>42</v>
      </c>
      <c r="V43" s="117">
        <f t="shared" ref="V43:V53" si="4">O43-S43</f>
        <v>109.24000000000001</v>
      </c>
      <c r="W43" s="117"/>
      <c r="X43" s="40" t="s">
        <v>51</v>
      </c>
      <c r="Y43" s="16" t="s">
        <v>52</v>
      </c>
      <c r="Z43" s="18"/>
    </row>
    <row r="44" spans="1:28" s="4" customFormat="1" ht="12.3" x14ac:dyDescent="0.4">
      <c r="A44" s="5"/>
      <c r="B44" s="52" t="s">
        <v>19</v>
      </c>
      <c r="C44" s="53"/>
      <c r="D44" s="111">
        <f t="shared" si="2"/>
        <v>21</v>
      </c>
      <c r="E44" s="112"/>
      <c r="F44" s="113">
        <v>0.71</v>
      </c>
      <c r="G44" s="113"/>
      <c r="H44" s="38" t="s">
        <v>42</v>
      </c>
      <c r="I44" s="37"/>
      <c r="J44" s="39">
        <f t="shared" si="0"/>
        <v>14.91</v>
      </c>
      <c r="K44" s="38" t="s">
        <v>43</v>
      </c>
      <c r="L44" s="118">
        <f t="shared" si="3"/>
        <v>109.24000000000001</v>
      </c>
      <c r="M44" s="118"/>
      <c r="N44" s="38" t="s">
        <v>42</v>
      </c>
      <c r="O44" s="115">
        <f t="shared" si="1"/>
        <v>124.15</v>
      </c>
      <c r="P44" s="115"/>
      <c r="Q44" s="38"/>
      <c r="R44" s="38" t="s">
        <v>44</v>
      </c>
      <c r="S44" s="116">
        <v>16</v>
      </c>
      <c r="T44" s="116"/>
      <c r="U44" s="38" t="s">
        <v>42</v>
      </c>
      <c r="V44" s="117">
        <f t="shared" si="4"/>
        <v>108.15</v>
      </c>
      <c r="W44" s="117"/>
      <c r="X44" s="40" t="s">
        <v>51</v>
      </c>
      <c r="Y44" s="16" t="s">
        <v>52</v>
      </c>
      <c r="Z44" s="5"/>
    </row>
    <row r="45" spans="1:28" s="4" customFormat="1" ht="12.3" x14ac:dyDescent="0.4">
      <c r="A45" s="5"/>
      <c r="B45" s="119" t="s">
        <v>22</v>
      </c>
      <c r="C45" s="120"/>
      <c r="D45" s="111">
        <f t="shared" si="2"/>
        <v>22</v>
      </c>
      <c r="E45" s="112"/>
      <c r="F45" s="113">
        <v>0.71</v>
      </c>
      <c r="G45" s="113"/>
      <c r="H45" s="38" t="s">
        <v>42</v>
      </c>
      <c r="I45" s="37"/>
      <c r="J45" s="39">
        <f t="shared" si="0"/>
        <v>15.62</v>
      </c>
      <c r="K45" s="38" t="s">
        <v>43</v>
      </c>
      <c r="L45" s="118">
        <f t="shared" si="3"/>
        <v>108.15</v>
      </c>
      <c r="M45" s="118"/>
      <c r="N45" s="38" t="s">
        <v>42</v>
      </c>
      <c r="O45" s="115">
        <f t="shared" si="1"/>
        <v>123.77000000000001</v>
      </c>
      <c r="P45" s="115"/>
      <c r="Q45" s="38"/>
      <c r="R45" s="38" t="s">
        <v>44</v>
      </c>
      <c r="S45" s="116">
        <v>32</v>
      </c>
      <c r="T45" s="116"/>
      <c r="U45" s="38" t="s">
        <v>42</v>
      </c>
      <c r="V45" s="117">
        <f t="shared" si="4"/>
        <v>91.77000000000001</v>
      </c>
      <c r="W45" s="117"/>
      <c r="X45" s="40" t="s">
        <v>51</v>
      </c>
      <c r="Y45" s="16" t="s">
        <v>52</v>
      </c>
      <c r="Z45" s="5"/>
    </row>
    <row r="46" spans="1:28" s="4" customFormat="1" ht="12.3" x14ac:dyDescent="0.4">
      <c r="A46" s="5"/>
      <c r="B46" s="119" t="s">
        <v>2</v>
      </c>
      <c r="C46" s="120"/>
      <c r="D46" s="111">
        <f t="shared" si="2"/>
        <v>22</v>
      </c>
      <c r="E46" s="112"/>
      <c r="F46" s="113">
        <v>0.71</v>
      </c>
      <c r="G46" s="113"/>
      <c r="H46" s="38" t="s">
        <v>42</v>
      </c>
      <c r="I46" s="37"/>
      <c r="J46" s="39">
        <f t="shared" si="0"/>
        <v>15.62</v>
      </c>
      <c r="K46" s="38" t="s">
        <v>43</v>
      </c>
      <c r="L46" s="118">
        <f t="shared" si="3"/>
        <v>91.77000000000001</v>
      </c>
      <c r="M46" s="118"/>
      <c r="N46" s="38" t="s">
        <v>42</v>
      </c>
      <c r="O46" s="115">
        <f t="shared" si="1"/>
        <v>107.39000000000001</v>
      </c>
      <c r="P46" s="115"/>
      <c r="Q46" s="38"/>
      <c r="R46" s="38" t="s">
        <v>44</v>
      </c>
      <c r="S46" s="116">
        <v>8</v>
      </c>
      <c r="T46" s="116"/>
      <c r="U46" s="38" t="s">
        <v>42</v>
      </c>
      <c r="V46" s="117">
        <f t="shared" ref="V46" si="5">O46-S46</f>
        <v>99.390000000000015</v>
      </c>
      <c r="W46" s="117"/>
      <c r="X46" s="40" t="s">
        <v>51</v>
      </c>
      <c r="Y46" s="16" t="s">
        <v>52</v>
      </c>
      <c r="Z46" s="16"/>
    </row>
    <row r="47" spans="1:28" s="4" customFormat="1" ht="12.3" x14ac:dyDescent="0.4">
      <c r="A47" s="5"/>
      <c r="B47" s="119" t="s">
        <v>15</v>
      </c>
      <c r="C47" s="120"/>
      <c r="D47" s="111">
        <f t="shared" si="2"/>
        <v>21</v>
      </c>
      <c r="E47" s="112"/>
      <c r="F47" s="113">
        <v>0.71</v>
      </c>
      <c r="G47" s="113"/>
      <c r="H47" s="38" t="s">
        <v>42</v>
      </c>
      <c r="I47" s="37"/>
      <c r="J47" s="39">
        <f t="shared" si="0"/>
        <v>14.91</v>
      </c>
      <c r="K47" s="38" t="s">
        <v>43</v>
      </c>
      <c r="L47" s="118">
        <f t="shared" si="3"/>
        <v>99.390000000000015</v>
      </c>
      <c r="M47" s="118"/>
      <c r="N47" s="38" t="s">
        <v>42</v>
      </c>
      <c r="O47" s="115">
        <f t="shared" si="1"/>
        <v>114.30000000000001</v>
      </c>
      <c r="P47" s="115"/>
      <c r="Q47" s="38"/>
      <c r="R47" s="38" t="s">
        <v>44</v>
      </c>
      <c r="S47" s="116">
        <v>0</v>
      </c>
      <c r="T47" s="116"/>
      <c r="U47" s="38" t="s">
        <v>42</v>
      </c>
      <c r="V47" s="117">
        <v>80</v>
      </c>
      <c r="W47" s="117"/>
      <c r="X47" s="40" t="s">
        <v>51</v>
      </c>
      <c r="Y47" s="16" t="s">
        <v>52</v>
      </c>
      <c r="Z47" s="5"/>
    </row>
    <row r="48" spans="1:28" s="4" customFormat="1" ht="12.3" x14ac:dyDescent="0.4">
      <c r="A48" s="5"/>
      <c r="B48" s="119" t="s">
        <v>20</v>
      </c>
      <c r="C48" s="120"/>
      <c r="D48" s="111">
        <f t="shared" si="2"/>
        <v>23</v>
      </c>
      <c r="E48" s="112"/>
      <c r="F48" s="113">
        <v>0.71</v>
      </c>
      <c r="G48" s="113"/>
      <c r="H48" s="38" t="s">
        <v>42</v>
      </c>
      <c r="I48" s="37"/>
      <c r="J48" s="39">
        <f t="shared" si="0"/>
        <v>16.329999999999998</v>
      </c>
      <c r="K48" s="38" t="s">
        <v>43</v>
      </c>
      <c r="L48" s="118">
        <f t="shared" si="3"/>
        <v>80</v>
      </c>
      <c r="M48" s="118"/>
      <c r="N48" s="38" t="s">
        <v>42</v>
      </c>
      <c r="O48" s="115">
        <f t="shared" si="1"/>
        <v>96.33</v>
      </c>
      <c r="P48" s="115"/>
      <c r="Q48" s="38"/>
      <c r="R48" s="38" t="s">
        <v>44</v>
      </c>
      <c r="S48" s="116">
        <v>56</v>
      </c>
      <c r="T48" s="116"/>
      <c r="U48" s="38" t="s">
        <v>42</v>
      </c>
      <c r="V48" s="117">
        <f t="shared" si="4"/>
        <v>40.33</v>
      </c>
      <c r="W48" s="117"/>
      <c r="X48" s="40" t="s">
        <v>51</v>
      </c>
      <c r="Y48" s="16" t="s">
        <v>52</v>
      </c>
      <c r="Z48" s="5"/>
    </row>
    <row r="49" spans="1:26" s="4" customFormat="1" ht="12.3" x14ac:dyDescent="0.4">
      <c r="A49" s="5"/>
      <c r="B49" s="52" t="s">
        <v>23</v>
      </c>
      <c r="C49" s="53"/>
      <c r="D49" s="111">
        <f t="shared" si="2"/>
        <v>21</v>
      </c>
      <c r="E49" s="112"/>
      <c r="F49" s="113">
        <v>0.71</v>
      </c>
      <c r="G49" s="113"/>
      <c r="H49" s="38" t="s">
        <v>42</v>
      </c>
      <c r="I49" s="37"/>
      <c r="J49" s="39">
        <f t="shared" si="0"/>
        <v>14.91</v>
      </c>
      <c r="K49" s="38" t="s">
        <v>43</v>
      </c>
      <c r="L49" s="118">
        <f t="shared" si="3"/>
        <v>40.33</v>
      </c>
      <c r="M49" s="118"/>
      <c r="N49" s="38" t="s">
        <v>42</v>
      </c>
      <c r="O49" s="115">
        <f t="shared" si="1"/>
        <v>55.239999999999995</v>
      </c>
      <c r="P49" s="115"/>
      <c r="Q49" s="38"/>
      <c r="R49" s="38" t="s">
        <v>44</v>
      </c>
      <c r="S49" s="116">
        <v>0</v>
      </c>
      <c r="T49" s="116"/>
      <c r="U49" s="38" t="s">
        <v>42</v>
      </c>
      <c r="V49" s="117">
        <f t="shared" si="4"/>
        <v>55.239999999999995</v>
      </c>
      <c r="W49" s="117"/>
      <c r="X49" s="40" t="s">
        <v>51</v>
      </c>
      <c r="Y49" s="16" t="s">
        <v>52</v>
      </c>
      <c r="Z49" s="5"/>
    </row>
    <row r="50" spans="1:26" s="4" customFormat="1" ht="12.3" x14ac:dyDescent="0.4">
      <c r="A50" s="5"/>
      <c r="B50" s="52" t="s">
        <v>3</v>
      </c>
      <c r="C50" s="53"/>
      <c r="D50" s="111">
        <f t="shared" si="2"/>
        <v>22</v>
      </c>
      <c r="E50" s="112"/>
      <c r="F50" s="113">
        <v>0.71</v>
      </c>
      <c r="G50" s="113"/>
      <c r="H50" s="38" t="s">
        <v>42</v>
      </c>
      <c r="I50" s="37"/>
      <c r="J50" s="39">
        <f t="shared" si="0"/>
        <v>15.62</v>
      </c>
      <c r="K50" s="38" t="s">
        <v>43</v>
      </c>
      <c r="L50" s="118">
        <f t="shared" si="3"/>
        <v>55.239999999999995</v>
      </c>
      <c r="M50" s="118"/>
      <c r="N50" s="38" t="s">
        <v>42</v>
      </c>
      <c r="O50" s="115">
        <f t="shared" si="1"/>
        <v>70.86</v>
      </c>
      <c r="P50" s="115"/>
      <c r="Q50" s="38"/>
      <c r="R50" s="38" t="s">
        <v>44</v>
      </c>
      <c r="S50" s="116">
        <v>56</v>
      </c>
      <c r="T50" s="116"/>
      <c r="U50" s="38" t="s">
        <v>42</v>
      </c>
      <c r="V50" s="117">
        <f t="shared" si="4"/>
        <v>14.86</v>
      </c>
      <c r="W50" s="117"/>
      <c r="X50" s="40" t="s">
        <v>51</v>
      </c>
      <c r="Y50" s="16" t="s">
        <v>52</v>
      </c>
      <c r="Z50" s="5"/>
    </row>
    <row r="51" spans="1:26" s="4" customFormat="1" ht="12.3" x14ac:dyDescent="0.4">
      <c r="A51" s="5"/>
      <c r="B51" s="52" t="s">
        <v>16</v>
      </c>
      <c r="C51" s="53"/>
      <c r="D51" s="111">
        <f t="shared" si="2"/>
        <v>23</v>
      </c>
      <c r="E51" s="112"/>
      <c r="F51" s="113">
        <v>0.71</v>
      </c>
      <c r="G51" s="113"/>
      <c r="H51" s="38" t="s">
        <v>42</v>
      </c>
      <c r="I51" s="37"/>
      <c r="J51" s="39">
        <f t="shared" si="0"/>
        <v>16.329999999999998</v>
      </c>
      <c r="K51" s="38" t="s">
        <v>43</v>
      </c>
      <c r="L51" s="118">
        <f t="shared" si="3"/>
        <v>14.86</v>
      </c>
      <c r="M51" s="118"/>
      <c r="N51" s="38" t="s">
        <v>42</v>
      </c>
      <c r="O51" s="115">
        <f t="shared" si="1"/>
        <v>31.189999999999998</v>
      </c>
      <c r="P51" s="115"/>
      <c r="Q51" s="38"/>
      <c r="R51" s="38" t="s">
        <v>44</v>
      </c>
      <c r="S51" s="116"/>
      <c r="T51" s="116"/>
      <c r="U51" s="38" t="s">
        <v>42</v>
      </c>
      <c r="V51" s="117">
        <f t="shared" si="4"/>
        <v>31.189999999999998</v>
      </c>
      <c r="W51" s="117"/>
      <c r="X51" s="40" t="s">
        <v>51</v>
      </c>
      <c r="Y51" s="16" t="s">
        <v>52</v>
      </c>
      <c r="Z51" s="5"/>
    </row>
    <row r="52" spans="1:26" s="4" customFormat="1" ht="12.3" x14ac:dyDescent="0.4">
      <c r="A52" s="5"/>
      <c r="B52" s="52" t="s">
        <v>21</v>
      </c>
      <c r="C52" s="53"/>
      <c r="D52" s="111">
        <f t="shared" si="2"/>
        <v>20</v>
      </c>
      <c r="E52" s="112"/>
      <c r="F52" s="113">
        <v>0.71</v>
      </c>
      <c r="G52" s="113"/>
      <c r="H52" s="38" t="s">
        <v>42</v>
      </c>
      <c r="I52" s="37"/>
      <c r="J52" s="39">
        <f t="shared" si="0"/>
        <v>14.2</v>
      </c>
      <c r="K52" s="38" t="s">
        <v>43</v>
      </c>
      <c r="L52" s="118">
        <f t="shared" si="3"/>
        <v>31.189999999999998</v>
      </c>
      <c r="M52" s="118"/>
      <c r="N52" s="38" t="s">
        <v>42</v>
      </c>
      <c r="O52" s="115">
        <f t="shared" si="1"/>
        <v>45.39</v>
      </c>
      <c r="P52" s="115"/>
      <c r="Q52" s="38"/>
      <c r="R52" s="38" t="s">
        <v>44</v>
      </c>
      <c r="S52" s="116">
        <v>8</v>
      </c>
      <c r="T52" s="116"/>
      <c r="U52" s="38" t="s">
        <v>42</v>
      </c>
      <c r="V52" s="117">
        <f t="shared" si="4"/>
        <v>37.39</v>
      </c>
      <c r="W52" s="117"/>
      <c r="X52" s="40" t="s">
        <v>51</v>
      </c>
      <c r="Y52" s="16" t="s">
        <v>52</v>
      </c>
      <c r="Z52" s="5"/>
    </row>
    <row r="53" spans="1:26" s="4" customFormat="1" thickBot="1" x14ac:dyDescent="0.45">
      <c r="A53" s="5"/>
      <c r="B53" s="54" t="s">
        <v>24</v>
      </c>
      <c r="C53" s="55"/>
      <c r="D53" s="122">
        <f t="shared" si="2"/>
        <v>23</v>
      </c>
      <c r="E53" s="123"/>
      <c r="F53" s="113">
        <v>0.71</v>
      </c>
      <c r="G53" s="113"/>
      <c r="H53" s="42" t="s">
        <v>42</v>
      </c>
      <c r="I53" s="41"/>
      <c r="J53" s="43">
        <f t="shared" si="0"/>
        <v>16.329999999999998</v>
      </c>
      <c r="K53" s="42" t="s">
        <v>43</v>
      </c>
      <c r="L53" s="124">
        <f t="shared" si="3"/>
        <v>37.39</v>
      </c>
      <c r="M53" s="124"/>
      <c r="N53" s="42" t="s">
        <v>42</v>
      </c>
      <c r="O53" s="125">
        <f t="shared" si="1"/>
        <v>53.72</v>
      </c>
      <c r="P53" s="125"/>
      <c r="Q53" s="42"/>
      <c r="R53" s="42" t="s">
        <v>44</v>
      </c>
      <c r="S53" s="126">
        <v>16</v>
      </c>
      <c r="T53" s="126"/>
      <c r="U53" s="42" t="s">
        <v>42</v>
      </c>
      <c r="V53" s="127">
        <f t="shared" si="4"/>
        <v>37.72</v>
      </c>
      <c r="W53" s="127"/>
      <c r="X53" s="44" t="s">
        <v>51</v>
      </c>
      <c r="Y53" s="16" t="s">
        <v>52</v>
      </c>
      <c r="Z53" s="5"/>
    </row>
    <row r="54" spans="1:26" ht="12.9" thickTop="1" x14ac:dyDescent="0.45"/>
    <row r="55" spans="1:26" s="22" customFormat="1" ht="10.199999999999999" x14ac:dyDescent="0.35">
      <c r="A55" s="19"/>
      <c r="B55" s="19" t="s">
        <v>45</v>
      </c>
      <c r="C55" s="19"/>
      <c r="D55" s="19"/>
      <c r="E55" s="20"/>
      <c r="F55" s="20"/>
      <c r="G55" s="20"/>
      <c r="H55" s="20"/>
      <c r="I55" s="20"/>
      <c r="J55" s="21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19"/>
      <c r="Z55" s="19"/>
    </row>
    <row r="56" spans="1:26" ht="14.4" x14ac:dyDescent="0.55000000000000004">
      <c r="B56" s="87"/>
    </row>
    <row r="57" spans="1:26" ht="14.4" x14ac:dyDescent="0.55000000000000004">
      <c r="B57" s="81"/>
      <c r="F57" s="88" t="s">
        <v>53</v>
      </c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</row>
  </sheetData>
  <mergeCells count="116">
    <mergeCell ref="Y32:AA32"/>
    <mergeCell ref="Y33:AA33"/>
    <mergeCell ref="Y34:AA34"/>
    <mergeCell ref="D53:E53"/>
    <mergeCell ref="F53:G53"/>
    <mergeCell ref="L53:M53"/>
    <mergeCell ref="O53:P53"/>
    <mergeCell ref="S53:T53"/>
    <mergeCell ref="V53:W53"/>
    <mergeCell ref="V51:W51"/>
    <mergeCell ref="D52:E52"/>
    <mergeCell ref="F52:G52"/>
    <mergeCell ref="L52:M52"/>
    <mergeCell ref="O52:P52"/>
    <mergeCell ref="S52:T52"/>
    <mergeCell ref="V52:W52"/>
    <mergeCell ref="V49:W49"/>
    <mergeCell ref="V50:W50"/>
    <mergeCell ref="V47:W47"/>
    <mergeCell ref="D48:E48"/>
    <mergeCell ref="F48:G48"/>
    <mergeCell ref="L48:M48"/>
    <mergeCell ref="O48:P48"/>
    <mergeCell ref="S48:T48"/>
    <mergeCell ref="B45:C45"/>
    <mergeCell ref="B46:C46"/>
    <mergeCell ref="B47:C47"/>
    <mergeCell ref="B48:C48"/>
    <mergeCell ref="D51:E51"/>
    <mergeCell ref="F51:G51"/>
    <mergeCell ref="L51:M51"/>
    <mergeCell ref="O51:P51"/>
    <mergeCell ref="S51:T51"/>
    <mergeCell ref="D49:E49"/>
    <mergeCell ref="F49:G49"/>
    <mergeCell ref="L49:M49"/>
    <mergeCell ref="O49:P49"/>
    <mergeCell ref="S49:T49"/>
    <mergeCell ref="D50:E50"/>
    <mergeCell ref="F50:G50"/>
    <mergeCell ref="L50:M50"/>
    <mergeCell ref="O50:P50"/>
    <mergeCell ref="S50:T50"/>
    <mergeCell ref="D47:E47"/>
    <mergeCell ref="F47:G47"/>
    <mergeCell ref="L47:M47"/>
    <mergeCell ref="O47:P47"/>
    <mergeCell ref="S47:T47"/>
    <mergeCell ref="D44:E44"/>
    <mergeCell ref="F44:G44"/>
    <mergeCell ref="L44:M44"/>
    <mergeCell ref="O44:P44"/>
    <mergeCell ref="S44:T44"/>
    <mergeCell ref="V44:W44"/>
    <mergeCell ref="V48:W48"/>
    <mergeCell ref="D45:E45"/>
    <mergeCell ref="F45:G45"/>
    <mergeCell ref="L45:M45"/>
    <mergeCell ref="O45:P45"/>
    <mergeCell ref="S45:T45"/>
    <mergeCell ref="V45:W45"/>
    <mergeCell ref="D46:E46"/>
    <mergeCell ref="F46:G46"/>
    <mergeCell ref="L46:M46"/>
    <mergeCell ref="O46:P46"/>
    <mergeCell ref="S46:T46"/>
    <mergeCell ref="V46:W46"/>
    <mergeCell ref="D42:E42"/>
    <mergeCell ref="F42:G42"/>
    <mergeCell ref="L42:M42"/>
    <mergeCell ref="O42:P42"/>
    <mergeCell ref="S42:T42"/>
    <mergeCell ref="V42:W42"/>
    <mergeCell ref="D43:E43"/>
    <mergeCell ref="F43:G43"/>
    <mergeCell ref="L43:M43"/>
    <mergeCell ref="O43:P43"/>
    <mergeCell ref="S43:T43"/>
    <mergeCell ref="V43:W43"/>
    <mergeCell ref="B40:C40"/>
    <mergeCell ref="D40:E40"/>
    <mergeCell ref="F40:G40"/>
    <mergeCell ref="L40:M40"/>
    <mergeCell ref="O40:P40"/>
    <mergeCell ref="S40:T40"/>
    <mergeCell ref="V40:W40"/>
    <mergeCell ref="D41:E41"/>
    <mergeCell ref="F41:G41"/>
    <mergeCell ref="L41:M41"/>
    <mergeCell ref="O41:P41"/>
    <mergeCell ref="S41:T41"/>
    <mergeCell ref="V41:W41"/>
    <mergeCell ref="F57:Y57"/>
    <mergeCell ref="B2:C2"/>
    <mergeCell ref="J2:P2"/>
    <mergeCell ref="R2:X2"/>
    <mergeCell ref="D4:F4"/>
    <mergeCell ref="L4:N4"/>
    <mergeCell ref="T4:V4"/>
    <mergeCell ref="Z8:AA8"/>
    <mergeCell ref="Z9:AA9"/>
    <mergeCell ref="Z10:AA10"/>
    <mergeCell ref="Z11:AA11"/>
    <mergeCell ref="Z12:AA12"/>
    <mergeCell ref="D13:F13"/>
    <mergeCell ref="L13:N13"/>
    <mergeCell ref="T13:V13"/>
    <mergeCell ref="Z13:AA13"/>
    <mergeCell ref="Z14:AA14"/>
    <mergeCell ref="D22:F22"/>
    <mergeCell ref="L22:N22"/>
    <mergeCell ref="T22:V22"/>
    <mergeCell ref="D31:F31"/>
    <mergeCell ref="L31:N31"/>
    <mergeCell ref="T31:V31"/>
    <mergeCell ref="B39:X39"/>
  </mergeCells>
  <pageMargins left="0.75" right="0.75" top="1" bottom="1" header="0.51180555555555496" footer="0.51180555555555496"/>
  <pageSetup scale="85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1c1b86-5151-4b03-af62-ef842fc1503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E9170043BEC43A7B021479BBAB5C8" ma:contentTypeVersion="15" ma:contentTypeDescription="Create a new document." ma:contentTypeScope="" ma:versionID="fef916f5a468677088d71001ae0a9937">
  <xsd:schema xmlns:xsd="http://www.w3.org/2001/XMLSchema" xmlns:xs="http://www.w3.org/2001/XMLSchema" xmlns:p="http://schemas.microsoft.com/office/2006/metadata/properties" xmlns:ns3="6a1c1b86-5151-4b03-af62-ef842fc1503c" xmlns:ns4="390a7f63-e7bd-4cb4-a026-2eddf3496ef0" targetNamespace="http://schemas.microsoft.com/office/2006/metadata/properties" ma:root="true" ma:fieldsID="b6a40bfa13d563630cd5d79f1f84650a" ns3:_="" ns4:_="">
    <xsd:import namespace="6a1c1b86-5151-4b03-af62-ef842fc1503c"/>
    <xsd:import namespace="390a7f63-e7bd-4cb4-a026-2eddf3496e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c1b86-5151-4b03-af62-ef842fc15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a7f63-e7bd-4cb4-a026-2eddf3496ef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C866ED-61BC-4956-9E9D-A4084A995781}">
  <ds:schemaRefs>
    <ds:schemaRef ds:uri="6a1c1b86-5151-4b03-af62-ef842fc1503c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390a7f63-e7bd-4cb4-a026-2eddf3496ef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8E7F12-FDAC-4119-95AE-18B9524CA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1c1b86-5151-4b03-af62-ef842fc1503c"/>
    <ds:schemaRef ds:uri="390a7f63-e7bd-4cb4-a026-2eddf3496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7F5592-653E-4571-B4C2-CD2E3CDD09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Corey Alix</vt:lpstr>
      <vt:lpstr>'Corey Alix'!Print_Area</vt:lpstr>
      <vt:lpstr>'Corey Alix'!PTOYEAR</vt:lpstr>
    </vt:vector>
  </TitlesOfParts>
  <Company>TFP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R. Ward</dc:creator>
  <dc:description/>
  <cp:lastModifiedBy>Corey Alix</cp:lastModifiedBy>
  <cp:revision>2</cp:revision>
  <cp:lastPrinted>2009-05-11T14:09:54Z</cp:lastPrinted>
  <dcterms:created xsi:type="dcterms:W3CDTF">1998-07-17T14:30:51Z</dcterms:created>
  <dcterms:modified xsi:type="dcterms:W3CDTF">2026-02-04T19:02:42Z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TFP 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0x010100DD9E9170043BEC43A7B021479BBAB5C8</vt:lpwstr>
  </property>
</Properties>
</file>